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기본양식" sheetId="1" state="visible" r:id="rId1"/>
  </sheets>
  <definedNames>
    <definedName name="_xlnm._FilterDatabase" localSheetId="0" hidden="1">'기본양식'!$A$5:$Y$430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_-;\-* #,##0_-;_-* &quot;-&quot;_-;_-@_-"/>
  </numFmts>
  <fonts count="51">
    <font>
      <name val="Calibri"/>
      <color rgb="FF000000"/>
      <sz val="10"/>
      <scheme val="minor"/>
    </font>
    <font>
      <name val="Calibri"/>
      <family val="2"/>
      <color rgb="FF000000"/>
      <sz val="10"/>
    </font>
    <font>
      <name val="&quot;Malgun Gothic&quot;"/>
      <color rgb="FF000000"/>
      <sz val="11"/>
    </font>
    <font>
      <name val="&quot;Malgun Gothic&quot;"/>
      <b val="1"/>
      <color rgb="FF000000"/>
      <sz val="18"/>
      <u val="single"/>
    </font>
    <font>
      <name val="&quot;Malgun Gothic&quot;"/>
      <b val="1"/>
      <color rgb="FF000000"/>
      <sz val="11"/>
    </font>
    <font>
      <name val="Calibri"/>
      <family val="2"/>
      <sz val="10"/>
    </font>
    <font>
      <name val="&quot;Malgun Gothic&quot;"/>
      <b val="1"/>
      <color rgb="FF000000"/>
      <sz val="12"/>
    </font>
    <font>
      <name val="&quot;맑은 고딕&quot;"/>
      <charset val="129"/>
      <family val="3"/>
      <color theme="1"/>
      <sz val="11"/>
    </font>
    <font>
      <name val="&quot;Malgun Gothic&quot;"/>
      <b val="1"/>
      <color rgb="FF000000"/>
      <sz val="14"/>
    </font>
    <font>
      <name val="Calibri"/>
      <charset val="129"/>
      <family val="3"/>
      <sz val="8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&quot;Malgun Gothic&quot;"/>
      <family val="2"/>
      <color rgb="FF000000"/>
      <sz val="11"/>
    </font>
    <font>
      <name val="&quot;Malgun Gothic&quot;"/>
      <charset val="129"/>
      <family val="3"/>
      <color rgb="FF000000"/>
      <sz val="11"/>
    </font>
    <font>
      <name val="Calibri"/>
      <family val="2"/>
      <color rgb="FF000000"/>
      <sz val="10"/>
      <scheme val="minor"/>
    </font>
    <font>
      <name val="돋움"/>
      <charset val="129"/>
      <family val="3"/>
      <color rgb="FF000000"/>
      <sz val="11"/>
    </font>
    <font>
      <name val="돋움"/>
      <charset val="129"/>
      <family val="3"/>
      <sz val="10"/>
    </font>
    <font>
      <name val="돋움"/>
      <charset val="129"/>
      <family val="3"/>
      <b val="1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scheme val="minor"/>
    </font>
    <font>
      <name val="돋움"/>
      <charset val="129"/>
      <family val="3"/>
      <b val="1"/>
      <color rgb="FF000000"/>
      <sz val="11"/>
    </font>
    <font>
      <name val="돋움"/>
      <charset val="129"/>
      <family val="3"/>
      <color rgb="FF000000"/>
      <sz val="10"/>
    </font>
    <font>
      <name val="맑은 고딕"/>
      <charset val="129"/>
      <family val="3"/>
      <b val="1"/>
      <color rgb="FFFF0000"/>
      <sz val="12"/>
    </font>
    <font>
      <name val="Arial"/>
      <family val="2"/>
      <color rgb="FF000000"/>
      <sz val="11"/>
    </font>
    <font>
      <name val="맑은 고딕"/>
      <charset val="129"/>
      <family val="2"/>
      <color rgb="FF000000"/>
      <sz val="11"/>
    </font>
    <font>
      <name val="GulimChe"/>
      <charset val="129"/>
      <family val="3"/>
      <color indexed="8"/>
      <sz val="11"/>
    </font>
    <font>
      <name val="맑은 고딕"/>
      <charset val="129"/>
      <family val="3"/>
      <color indexed="8"/>
      <sz val="11"/>
    </font>
    <font>
      <name val="Arial"/>
      <family val="2"/>
      <sz val="10"/>
    </font>
    <font>
      <name val="GulimChe"/>
      <charset val="129"/>
      <family val="3"/>
      <color indexed="8"/>
      <sz val="12"/>
    </font>
    <font>
      <name val="&quot;Malgun Gothic&quot;"/>
      <color rgb="FF000000"/>
      <sz val="12"/>
    </font>
    <font>
      <name val="맑은 고딕"/>
      <charset val="129"/>
      <family val="3"/>
      <color rgb="FF000000"/>
      <sz val="12"/>
    </font>
    <font>
      <name val="Calibri"/>
      <family val="2"/>
      <color rgb="FF000000"/>
      <sz val="12"/>
      <scheme val="minor"/>
    </font>
    <font>
      <name val="돋움"/>
      <charset val="129"/>
      <family val="3"/>
      <color rgb="FF000000"/>
      <sz val="12"/>
    </font>
    <font>
      <name val="&quot;Malgun Gothic&quot;"/>
      <family val="2"/>
      <color rgb="FF000000"/>
      <sz val="12"/>
    </font>
    <font>
      <name val="GulimChe"/>
      <charset val="129"/>
      <family val="3"/>
      <color indexed="8"/>
      <sz val="12"/>
    </font>
    <font>
      <name val="Calibri"/>
      <family val="2"/>
      <b val="1"/>
      <color rgb="FFFF0000"/>
      <sz val="12"/>
      <scheme val="minor"/>
    </font>
    <font>
      <name val="GulimChe"/>
      <charset val="129"/>
      <family val="3"/>
      <color indexed="8"/>
      <sz val="12"/>
    </font>
    <font>
      <name val="돋움"/>
      <charset val="129"/>
      <family val="3"/>
      <b val="1"/>
      <color rgb="FFFF0000"/>
      <sz val="12"/>
    </font>
    <font>
      <name val="GulimChe"/>
      <family val="3"/>
      <b val="1"/>
      <color rgb="FFFF0000"/>
      <sz val="12"/>
    </font>
    <font>
      <name val="맑은 고딕"/>
      <charset val="129"/>
      <family val="2"/>
      <b val="1"/>
      <color rgb="FFFF0000"/>
      <sz val="12"/>
    </font>
    <font>
      <name val="Calibri"/>
      <family val="2"/>
      <b val="1"/>
      <color rgb="FFFF0000"/>
      <sz val="12"/>
    </font>
    <font>
      <name val="Calibri"/>
      <family val="2"/>
      <b val="1"/>
      <color rgb="FFFF0000"/>
      <sz val="11"/>
      <scheme val="minor"/>
    </font>
    <font>
      <name val="GulimChe"/>
      <family val="3"/>
      <b val="1"/>
      <color rgb="FFFF0000"/>
      <sz val="11"/>
    </font>
    <font>
      <name val="맑은 고딕"/>
      <charset val="129"/>
      <family val="3"/>
      <b val="1"/>
      <color rgb="FFFF0000"/>
      <sz val="11"/>
    </font>
    <font>
      <name val="Calibri"/>
      <family val="3"/>
      <b val="1"/>
      <color rgb="FFFF0000"/>
      <sz val="11"/>
    </font>
    <font>
      <name val="Calibri"/>
      <family val="2"/>
      <color rgb="FFFF0000"/>
      <sz val="12"/>
      <scheme val="minor"/>
    </font>
    <font>
      <name val="GulimChe"/>
      <family val="3"/>
      <color rgb="FFFF0000"/>
      <sz val="12"/>
    </font>
    <font>
      <name val="맑은 고딕"/>
      <charset val="129"/>
      <family val="2"/>
      <color rgb="FFFF0000"/>
      <sz val="12"/>
    </font>
    <font>
      <name val="GulimChe"/>
      <charset val="129"/>
      <family val="2"/>
      <b val="1"/>
      <color rgb="FFFF0000"/>
      <sz val="12"/>
    </font>
    <font>
      <name val="돋움"/>
      <charset val="129"/>
      <family val="2"/>
      <b val="1"/>
      <color rgb="FFFF0000"/>
      <sz val="12"/>
    </font>
    <font>
      <name val="GulimChe"/>
      <color indexed="8"/>
      <sz val="12"/>
    </font>
  </fonts>
  <fills count="9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CCFF"/>
        <bgColor rgb="FFFFCCFF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41" fontId="14" fillId="0" borderId="0" applyAlignment="1">
      <alignment vertical="center"/>
    </xf>
    <xf numFmtId="0" fontId="27" fillId="0" borderId="0"/>
  </cellStyleXfs>
  <cellXfs count="16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4" fillId="0" borderId="1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5" pivotButton="0" quotePrefix="0" xfId="0"/>
    <xf numFmtId="0" fontId="2" fillId="0" borderId="5" applyAlignment="1" pivotButton="0" quotePrefix="0" xfId="0">
      <alignment horizontal="right"/>
    </xf>
    <xf numFmtId="0" fontId="2" fillId="0" borderId="6" applyAlignment="1" pivotButton="0" quotePrefix="0" xfId="0">
      <alignment horizontal="center"/>
    </xf>
    <xf numFmtId="0" fontId="2" fillId="0" borderId="6" pivotButton="0" quotePrefix="0" xfId="0"/>
    <xf numFmtId="0" fontId="2" fillId="3" borderId="5" pivotButton="0" quotePrefix="0" xfId="0"/>
    <xf numFmtId="0" fontId="2" fillId="3" borderId="5" applyAlignment="1" pivotButton="0" quotePrefix="0" xfId="0">
      <alignment horizontal="right"/>
    </xf>
    <xf numFmtId="0" fontId="2" fillId="4" borderId="5" pivotButton="0" quotePrefix="0" xfId="0"/>
    <xf numFmtId="0" fontId="4" fillId="5" borderId="5" pivotButton="0" quotePrefix="0" xfId="0"/>
    <xf numFmtId="0" fontId="8" fillId="3" borderId="5" applyAlignment="1" pivotButton="0" quotePrefix="0" xfId="0">
      <alignment horizontal="center"/>
    </xf>
    <xf numFmtId="0" fontId="10" fillId="2" borderId="5" applyAlignment="1" pivotButton="0" quotePrefix="0" xfId="0">
      <alignment horizontal="center"/>
    </xf>
    <xf numFmtId="0" fontId="2" fillId="7" borderId="5" pivotButton="0" quotePrefix="0" xfId="0"/>
    <xf numFmtId="0" fontId="2" fillId="8" borderId="5" pivotButton="0" quotePrefix="0" xfId="0"/>
    <xf numFmtId="0" fontId="11" fillId="0" borderId="5" applyAlignment="1" pivotButton="0" quotePrefix="0" xfId="0">
      <alignment horizontal="center"/>
    </xf>
    <xf numFmtId="164" fontId="4" fillId="5" borderId="5" pivotButton="0" quotePrefix="0" xfId="1"/>
    <xf numFmtId="0" fontId="2" fillId="0" borderId="12" applyAlignment="1" pivotButton="0" quotePrefix="0" xfId="0">
      <alignment horizontal="center"/>
    </xf>
    <xf numFmtId="0" fontId="2" fillId="0" borderId="12" pivotButton="0" quotePrefix="0" xfId="0"/>
    <xf numFmtId="0" fontId="2" fillId="7" borderId="12" applyAlignment="1" pivotButton="0" quotePrefix="0" xfId="0">
      <alignment horizontal="center"/>
    </xf>
    <xf numFmtId="0" fontId="11" fillId="7" borderId="12" applyAlignment="1" pivotButton="0" quotePrefix="0" xfId="0">
      <alignment horizontal="center"/>
    </xf>
    <xf numFmtId="0" fontId="11" fillId="0" borderId="12" applyAlignment="1" pivotButton="0" quotePrefix="0" xfId="0">
      <alignment horizontal="center"/>
    </xf>
    <xf numFmtId="0" fontId="13" fillId="0" borderId="12" applyAlignment="1" pivotButton="0" quotePrefix="0" xfId="0">
      <alignment horizontal="center"/>
    </xf>
    <xf numFmtId="0" fontId="18" fillId="0" borderId="0" pivotButton="0" quotePrefix="0" xfId="0"/>
    <xf numFmtId="0" fontId="19" fillId="0" borderId="0" pivotButton="0" quotePrefix="0" xfId="0"/>
    <xf numFmtId="0" fontId="21" fillId="0" borderId="0" pivotButton="0" quotePrefix="0" xfId="0"/>
    <xf numFmtId="0" fontId="15" fillId="0" borderId="0" pivotButton="0" quotePrefix="0" xfId="0"/>
    <xf numFmtId="0" fontId="15" fillId="3" borderId="12" applyAlignment="1" pivotButton="0" quotePrefix="0" xfId="0">
      <alignment horizontal="center"/>
    </xf>
    <xf numFmtId="0" fontId="17" fillId="0" borderId="12" applyAlignment="1" pivotButton="0" quotePrefix="0" xfId="0">
      <alignment horizontal="center"/>
    </xf>
    <xf numFmtId="0" fontId="4" fillId="0" borderId="13" applyAlignment="1" pivotButton="0" quotePrefix="0" xfId="0">
      <alignment horizontal="center"/>
    </xf>
    <xf numFmtId="0" fontId="4" fillId="0" borderId="17" applyAlignment="1" pivotButton="0" quotePrefix="0" xfId="0">
      <alignment horizontal="center"/>
    </xf>
    <xf numFmtId="0" fontId="4" fillId="0" borderId="18" applyAlignment="1" pivotButton="0" quotePrefix="0" xfId="0">
      <alignment horizontal="center"/>
    </xf>
    <xf numFmtId="0" fontId="11" fillId="0" borderId="0" pivotButton="0" quotePrefix="0" xfId="0"/>
    <xf numFmtId="0" fontId="4" fillId="0" borderId="12" applyAlignment="1" pivotButton="0" quotePrefix="0" xfId="0">
      <alignment horizontal="center"/>
    </xf>
    <xf numFmtId="0" fontId="2" fillId="0" borderId="1" pivotButton="0" quotePrefix="0" xfId="0"/>
    <xf numFmtId="0" fontId="2" fillId="4" borderId="6" pivotButton="0" quotePrefix="0" xfId="0"/>
    <xf numFmtId="0" fontId="17" fillId="0" borderId="13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11" fillId="7" borderId="13" applyAlignment="1" pivotButton="0" quotePrefix="0" xfId="0">
      <alignment horizontal="center"/>
    </xf>
    <xf numFmtId="0" fontId="11" fillId="0" borderId="13" applyAlignment="1" pivotButton="0" quotePrefix="0" xfId="0">
      <alignment horizontal="center"/>
    </xf>
    <xf numFmtId="0" fontId="17" fillId="0" borderId="15" applyAlignment="1" pivotButton="0" quotePrefix="0" xfId="0">
      <alignment horizontal="center"/>
    </xf>
    <xf numFmtId="0" fontId="4" fillId="0" borderId="19" applyAlignment="1" pivotButton="0" quotePrefix="0" xfId="0">
      <alignment horizontal="center"/>
    </xf>
    <xf numFmtId="0" fontId="11" fillId="7" borderId="14" applyAlignment="1" pivotButton="0" quotePrefix="0" xfId="0">
      <alignment horizontal="center"/>
    </xf>
    <xf numFmtId="0" fontId="11" fillId="7" borderId="15" applyAlignment="1" pivotButton="0" quotePrefix="0" xfId="0">
      <alignment horizontal="center"/>
    </xf>
    <xf numFmtId="0" fontId="11" fillId="8" borderId="15" applyAlignment="1" pivotButton="0" quotePrefix="0" xfId="0">
      <alignment horizontal="center"/>
    </xf>
    <xf numFmtId="0" fontId="11" fillId="0" borderId="14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11" fillId="0" borderId="15" applyAlignment="1" pivotButton="0" quotePrefix="0" xfId="0">
      <alignment horizontal="center"/>
    </xf>
    <xf numFmtId="0" fontId="11" fillId="0" borderId="1" pivotButton="0" quotePrefix="0" xfId="0"/>
    <xf numFmtId="0" fontId="11" fillId="0" borderId="12" pivotButton="0" quotePrefix="0" xfId="0"/>
    <xf numFmtId="0" fontId="4" fillId="0" borderId="14" applyAlignment="1" pivotButton="0" quotePrefix="0" xfId="0">
      <alignment horizontal="center"/>
    </xf>
    <xf numFmtId="0" fontId="2" fillId="4" borderId="1" pivotButton="0" quotePrefix="0" xfId="0"/>
    <xf numFmtId="0" fontId="2" fillId="0" borderId="20" pivotButton="0" quotePrefix="0" xfId="0"/>
    <xf numFmtId="0" fontId="2" fillId="4" borderId="12" pivotButton="0" quotePrefix="0" xfId="0"/>
    <xf numFmtId="3" fontId="26" fillId="0" borderId="12" applyAlignment="1" pivotButton="0" quotePrefix="0" xfId="2">
      <alignment horizontal="right" vertical="center" wrapText="1"/>
    </xf>
    <xf numFmtId="3" fontId="2" fillId="4" borderId="12" pivotButton="0" quotePrefix="0" xfId="0"/>
    <xf numFmtId="3" fontId="26" fillId="0" borderId="21" applyAlignment="1" pivotButton="0" quotePrefix="0" xfId="2">
      <alignment horizontal="right" vertical="center" wrapText="1"/>
    </xf>
    <xf numFmtId="3" fontId="2" fillId="4" borderId="20" pivotButton="0" quotePrefix="0" xfId="0"/>
    <xf numFmtId="49" fontId="25" fillId="0" borderId="21" applyAlignment="1" pivotButton="0" quotePrefix="0" xfId="0">
      <alignment horizontal="center" vertical="center" wrapText="1"/>
    </xf>
    <xf numFmtId="49" fontId="26" fillId="0" borderId="13" applyAlignment="1" pivotButton="0" quotePrefix="0" xfId="2">
      <alignment horizontal="center" vertical="center" wrapText="1"/>
    </xf>
    <xf numFmtId="0" fontId="4" fillId="0" borderId="22" applyAlignment="1" pivotButton="0" quotePrefix="0" xfId="0">
      <alignment horizontal="center"/>
    </xf>
    <xf numFmtId="3" fontId="28" fillId="0" borderId="16" applyAlignment="1" pivotButton="0" quotePrefix="0" xfId="0">
      <alignment horizontal="right" vertical="center" wrapText="1"/>
    </xf>
    <xf numFmtId="3" fontId="2" fillId="4" borderId="5" pivotButton="0" quotePrefix="0" xfId="0"/>
    <xf numFmtId="0" fontId="1" fillId="0" borderId="0" applyAlignment="1" pivotButton="0" quotePrefix="0" xfId="0">
      <alignment horizontal="center"/>
    </xf>
    <xf numFmtId="49" fontId="28" fillId="0" borderId="1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9" fontId="28" fillId="0" borderId="16" applyAlignment="1" pivotButton="0" quotePrefix="0" xfId="0">
      <alignment horizontal="left" vertical="center" wrapText="1"/>
    </xf>
    <xf numFmtId="0" fontId="29" fillId="0" borderId="5" applyAlignment="1" pivotButton="0" quotePrefix="0" xfId="0">
      <alignment horizontal="center"/>
    </xf>
    <xf numFmtId="0" fontId="29" fillId="0" borderId="5" pivotButton="0" quotePrefix="0" xfId="0"/>
    <xf numFmtId="0" fontId="30" fillId="0" borderId="5" applyAlignment="1" pivotButton="0" quotePrefix="0" xfId="0">
      <alignment horizontal="center"/>
    </xf>
    <xf numFmtId="0" fontId="29" fillId="0" borderId="12" applyAlignment="1" pivotButton="0" quotePrefix="0" xfId="0">
      <alignment horizontal="center"/>
    </xf>
    <xf numFmtId="0" fontId="29" fillId="0" borderId="12" pivotButton="0" quotePrefix="0" xfId="0"/>
    <xf numFmtId="0" fontId="29" fillId="2" borderId="12" pivotButton="0" quotePrefix="0" xfId="0"/>
    <xf numFmtId="0" fontId="30" fillId="2" borderId="12" applyAlignment="1" pivotButton="0" quotePrefix="0" xfId="0">
      <alignment horizontal="center"/>
    </xf>
    <xf numFmtId="0" fontId="29" fillId="2" borderId="12" applyAlignment="1" pivotButton="0" quotePrefix="0" xfId="0">
      <alignment horizontal="right"/>
    </xf>
    <xf numFmtId="0" fontId="31" fillId="0" borderId="12" pivotButton="0" quotePrefix="0" xfId="0"/>
    <xf numFmtId="0" fontId="32" fillId="3" borderId="12" applyAlignment="1" pivotButton="0" quotePrefix="0" xfId="0">
      <alignment horizontal="center"/>
    </xf>
    <xf numFmtId="0" fontId="29" fillId="3" borderId="5" pivotButton="0" quotePrefix="0" xfId="0"/>
    <xf numFmtId="0" fontId="29" fillId="3" borderId="5" applyAlignment="1" pivotButton="0" quotePrefix="0" xfId="0">
      <alignment horizontal="right"/>
    </xf>
    <xf numFmtId="49" fontId="34" fillId="0" borderId="16" applyAlignment="1" pivotButton="0" quotePrefix="0" xfId="0">
      <alignment horizontal="left" vertical="center" wrapText="1"/>
    </xf>
    <xf numFmtId="3" fontId="34" fillId="0" borderId="16" applyAlignment="1" pivotButton="0" quotePrefix="0" xfId="0">
      <alignment horizontal="right" vertical="center" wrapText="1"/>
    </xf>
    <xf numFmtId="49" fontId="36" fillId="0" borderId="16" applyAlignment="1" pivotButton="0" quotePrefix="0" xfId="0">
      <alignment horizontal="left" vertical="center" wrapText="1"/>
    </xf>
    <xf numFmtId="3" fontId="36" fillId="0" borderId="16" applyAlignment="1" pivotButton="0" quotePrefix="0" xfId="0">
      <alignment horizontal="right" vertical="center" wrapText="1"/>
    </xf>
    <xf numFmtId="49" fontId="28" fillId="0" borderId="16" applyAlignment="1" pivotButton="0" quotePrefix="0" xfId="2">
      <alignment horizontal="left" vertical="center" wrapText="1"/>
    </xf>
    <xf numFmtId="3" fontId="28" fillId="0" borderId="16" applyAlignment="1" pivotButton="0" quotePrefix="0" xfId="2">
      <alignment horizontal="right" vertical="center" wrapText="1"/>
    </xf>
    <xf numFmtId="0" fontId="35" fillId="0" borderId="0" applyAlignment="1" pivotButton="0" quotePrefix="0" xfId="0">
      <alignment horizontal="left" vertical="top" wrapText="1"/>
    </xf>
    <xf numFmtId="0" fontId="35" fillId="0" borderId="0" applyAlignment="1" pivotButton="0" quotePrefix="0" xfId="0">
      <alignment horizontal="left" vertical="top"/>
    </xf>
    <xf numFmtId="0" fontId="8" fillId="5" borderId="7" applyAlignment="1" pivotButton="0" quotePrefix="0" xfId="0">
      <alignment horizontal="center"/>
    </xf>
    <xf numFmtId="0" fontId="5" fillId="0" borderId="3" pivotButton="0" quotePrefix="0" xfId="0"/>
    <xf numFmtId="0" fontId="5" fillId="0" borderId="4" pivotButton="0" quotePrefix="0" xfId="0"/>
    <xf numFmtId="0" fontId="41" fillId="0" borderId="0" applyAlignment="1" pivotButton="0" quotePrefix="0" xfId="0">
      <alignment horizontal="left" vertical="top" wrapText="1"/>
    </xf>
    <xf numFmtId="0" fontId="41" fillId="0" borderId="0" applyAlignment="1" pivotButton="0" quotePrefix="0" xfId="0">
      <alignment horizontal="left" vertical="top"/>
    </xf>
    <xf numFmtId="0" fontId="8" fillId="6" borderId="7" applyAlignment="1" pivotButton="0" quotePrefix="0" xfId="0">
      <alignment horizontal="center"/>
    </xf>
    <xf numFmtId="0" fontId="8" fillId="6" borderId="4" applyAlignment="1" pivotButton="0" quotePrefix="0" xfId="0">
      <alignment horizontal="center"/>
    </xf>
    <xf numFmtId="0" fontId="22" fillId="0" borderId="11" applyAlignment="1" pivotButton="0" quotePrefix="0" xfId="0">
      <alignment horizontal="left" vertical="top" wrapText="1"/>
    </xf>
    <xf numFmtId="0" fontId="22" fillId="0" borderId="0" applyAlignment="1" pivotButton="0" quotePrefix="0" xfId="0">
      <alignment horizontal="left" vertical="top" wrapText="1"/>
    </xf>
    <xf numFmtId="0" fontId="20" fillId="0" borderId="7" applyAlignment="1" pivotButton="0" quotePrefix="0" xfId="0">
      <alignment horizontal="center"/>
    </xf>
    <xf numFmtId="0" fontId="45" fillId="0" borderId="0" applyAlignment="1" pivotButton="0" quotePrefix="0" xfId="0">
      <alignment horizontal="left" vertical="top" wrapText="1"/>
    </xf>
    <xf numFmtId="0" fontId="45" fillId="0" borderId="0" applyAlignment="1" pivotButton="0" quotePrefix="0" xfId="0">
      <alignment horizontal="left" vertical="top"/>
    </xf>
    <xf numFmtId="0" fontId="6" fillId="4" borderId="12" applyAlignment="1" pivotButton="0" quotePrefix="0" xfId="0">
      <alignment horizontal="center"/>
    </xf>
    <xf numFmtId="0" fontId="5" fillId="0" borderId="12" pivotButton="0" quotePrefix="0" xfId="0"/>
    <xf numFmtId="0" fontId="3" fillId="0" borderId="0" applyAlignment="1" pivotButton="0" quotePrefix="0" xfId="0">
      <alignment horizontal="center"/>
    </xf>
    <xf numFmtId="14" fontId="4" fillId="0" borderId="1" applyAlignment="1" pivotButton="0" quotePrefix="0" xfId="0">
      <alignment horizontal="center"/>
    </xf>
    <xf numFmtId="0" fontId="5" fillId="0" borderId="1" pivotButton="0" quotePrefix="0" xfId="0"/>
    <xf numFmtId="0" fontId="4" fillId="0" borderId="1" applyAlignment="1" pivotButton="0" quotePrefix="0" xfId="0">
      <alignment horizontal="center"/>
    </xf>
    <xf numFmtId="0" fontId="20" fillId="0" borderId="1" applyAlignment="1" pivotButton="0" quotePrefix="0" xfId="0">
      <alignment horizontal="center"/>
    </xf>
    <xf numFmtId="0" fontId="20" fillId="2" borderId="3" applyAlignment="1" pivotButton="0" quotePrefix="0" xfId="0">
      <alignment horizontal="center"/>
    </xf>
    <xf numFmtId="0" fontId="6" fillId="4" borderId="10" applyAlignment="1" pivotButton="0" quotePrefix="0" xfId="0">
      <alignment horizontal="center"/>
    </xf>
    <xf numFmtId="0" fontId="5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7" fillId="0" borderId="12" applyAlignment="1" pivotButton="0" quotePrefix="0" xfId="0">
      <alignment horizontal="center"/>
    </xf>
    <xf numFmtId="0" fontId="7" fillId="0" borderId="13" applyAlignment="1" pivotButton="0" quotePrefix="0" xfId="0">
      <alignment horizontal="center"/>
    </xf>
    <xf numFmtId="0" fontId="7" fillId="0" borderId="14" applyAlignment="1" pivotButton="0" quotePrefix="0" xfId="0">
      <alignment horizontal="center"/>
    </xf>
    <xf numFmtId="0" fontId="7" fillId="0" borderId="15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13" applyAlignment="1" pivotButton="0" quotePrefix="0" xfId="0">
      <alignment horizontal="center"/>
    </xf>
    <xf numFmtId="0" fontId="4" fillId="0" borderId="14" applyAlignment="1" pivotButton="0" quotePrefix="0" xfId="0">
      <alignment horizontal="center"/>
    </xf>
    <xf numFmtId="0" fontId="4" fillId="0" borderId="15" applyAlignment="1" pivotButton="0" quotePrefix="0" xfId="0">
      <alignment horizontal="center"/>
    </xf>
    <xf numFmtId="0" fontId="16" fillId="0" borderId="13" applyAlignment="1" pivotButton="0" quotePrefix="0" xfId="0">
      <alignment horizontal="center"/>
    </xf>
    <xf numFmtId="0" fontId="16" fillId="0" borderId="12" applyAlignment="1" pivotButton="0" quotePrefix="0" xfId="0">
      <alignment horizontal="center"/>
    </xf>
    <xf numFmtId="0" fontId="16" fillId="0" borderId="14" applyAlignment="1" pivotButton="0" quotePrefix="0" xfId="0">
      <alignment horizontal="center"/>
    </xf>
    <xf numFmtId="0" fontId="16" fillId="0" borderId="15" applyAlignment="1" pivotButton="0" quotePrefix="0" xfId="0">
      <alignment horizontal="center"/>
    </xf>
    <xf numFmtId="0" fontId="4" fillId="0" borderId="8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/>
    </xf>
    <xf numFmtId="0" fontId="5" fillId="0" borderId="0" pivotButton="0" quotePrefix="0" xfId="0"/>
    <xf numFmtId="0" fontId="5" fillId="0" borderId="6" pivotButton="0" quotePrefix="0" xfId="0"/>
    <xf numFmtId="0" fontId="5" fillId="0" borderId="15" pivotButton="0" quotePrefix="0" xfId="0"/>
    <xf numFmtId="0" fontId="5" fillId="0" borderId="14" pivotButton="0" quotePrefix="0" xfId="0"/>
    <xf numFmtId="0" fontId="17" fillId="0" borderId="15" applyAlignment="1" pivotButton="0" quotePrefix="0" xfId="0">
      <alignment horizontal="center"/>
    </xf>
    <xf numFmtId="0" fontId="6" fillId="4" borderId="19" applyAlignment="1" pivotButton="0" quotePrefix="0" xfId="0">
      <alignment horizontal="center"/>
    </xf>
    <xf numFmtId="0" fontId="6" fillId="4" borderId="0" applyAlignment="1" pivotButton="0" quotePrefix="0" xfId="0">
      <alignment horizontal="center"/>
    </xf>
    <xf numFmtId="0" fontId="6" fillId="4" borderId="23" applyAlignment="1" pivotButton="0" quotePrefix="0" xfId="0">
      <alignment horizontal="center"/>
    </xf>
    <xf numFmtId="49" fontId="50" fillId="0" borderId="16" applyAlignment="1" pivotButton="0" quotePrefix="0" xfId="0">
      <alignment horizontal="left" vertical="center" wrapText="1"/>
    </xf>
    <xf numFmtId="3" fontId="50" fillId="0" borderId="16" applyAlignment="1" pivotButton="0" quotePrefix="0" xfId="0">
      <alignment horizontal="right" vertical="center" wrapText="1"/>
    </xf>
    <xf numFmtId="0" fontId="0" fillId="0" borderId="1" pivotButton="0" quotePrefix="0" xfId="0"/>
    <xf numFmtId="0" fontId="20" fillId="2" borderId="4" applyAlignment="1" pivotButton="0" quotePrefix="0" xfId="0">
      <alignment horizontal="center"/>
    </xf>
    <xf numFmtId="0" fontId="0" fillId="0" borderId="4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6" fillId="4" borderId="24" applyAlignment="1" pivotButton="0" quotePrefix="0" xfId="0">
      <alignment horizontal="center"/>
    </xf>
    <xf numFmtId="0" fontId="0" fillId="0" borderId="11" pivotButton="0" quotePrefix="0" xfId="0"/>
    <xf numFmtId="0" fontId="0" fillId="0" borderId="25" pivotButton="0" quotePrefix="0" xfId="0"/>
    <xf numFmtId="0" fontId="0" fillId="0" borderId="30" pivotButton="0" quotePrefix="0" xfId="0"/>
    <xf numFmtId="0" fontId="0" fillId="0" borderId="20" pivotButton="0" quotePrefix="0" xfId="0"/>
    <xf numFmtId="0" fontId="6" fillId="4" borderId="14" applyAlignment="1" pivotButton="0" quotePrefix="0" xfId="0">
      <alignment horizontal="center"/>
    </xf>
    <xf numFmtId="0" fontId="0" fillId="0" borderId="23" pivotButton="0" quotePrefix="0" xfId="0"/>
    <xf numFmtId="0" fontId="0" fillId="0" borderId="26" pivotButton="0" quotePrefix="0" xfId="0"/>
    <xf numFmtId="0" fontId="0" fillId="0" borderId="27" pivotButton="0" quotePrefix="0" xfId="0"/>
    <xf numFmtId="0" fontId="6" fillId="4" borderId="2" applyAlignment="1" pivotButton="0" quotePrefix="0" xfId="0">
      <alignment horizontal="center"/>
    </xf>
    <xf numFmtId="0" fontId="0" fillId="0" borderId="5" pivotButton="0" quotePrefix="0" xfId="0"/>
    <xf numFmtId="0" fontId="8" fillId="5" borderId="31" applyAlignment="1" pivotButton="0" quotePrefix="0" xfId="0">
      <alignment horizontal="center"/>
    </xf>
    <xf numFmtId="0" fontId="0" fillId="0" borderId="3" pivotButton="0" quotePrefix="0" xfId="0"/>
    <xf numFmtId="164" fontId="4" fillId="5" borderId="5" pivotButton="0" quotePrefix="0" xfId="1"/>
    <xf numFmtId="0" fontId="8" fillId="6" borderId="31" applyAlignment="1" pivotButton="0" quotePrefix="0" xfId="0">
      <alignment horizontal="center"/>
    </xf>
    <xf numFmtId="0" fontId="20" fillId="0" borderId="31" applyAlignment="1" pivotButton="0" quotePrefix="0" xfId="0">
      <alignment horizontal="center"/>
    </xf>
  </cellXfs>
  <cellStyles count="3">
    <cellStyle name="표준" xfId="0" builtinId="0"/>
    <cellStyle name="쉼표 [0]" xfId="1" builtinId="6"/>
    <cellStyle name="표준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1">
    <outlinePr summaryBelow="0" summaryRight="0"/>
    <pageSetUpPr fitToPage="1"/>
  </sheetPr>
  <dimension ref="A1:Y444"/>
  <sheetViews>
    <sheetView tabSelected="1" zoomScale="70" zoomScaleNormal="70" workbookViewId="0">
      <selection activeCell="F53" sqref="F53"/>
    </sheetView>
  </sheetViews>
  <sheetFormatPr baseColWidth="8" defaultColWidth="14.42578125" defaultRowHeight="15.75" customHeight="1"/>
  <cols>
    <col width="24" customWidth="1" style="71" min="4" max="4"/>
  </cols>
  <sheetData>
    <row r="1" ht="12.75" customHeight="1">
      <c r="A1" s="1" t="n"/>
      <c r="B1" s="2" t="n"/>
      <c r="C1" s="2" t="n"/>
      <c r="D1" s="69" t="n"/>
      <c r="E1" s="1" t="n"/>
      <c r="F1" s="1" t="n"/>
      <c r="G1" s="3" t="n"/>
      <c r="H1" s="3" t="n"/>
      <c r="I1" s="3" t="n"/>
      <c r="J1" s="3" t="n"/>
      <c r="K1" s="3" t="n"/>
      <c r="L1" s="3" t="n"/>
      <c r="M1" s="3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15.75" customHeight="1">
      <c r="A2" s="1" t="n"/>
      <c r="B2" s="2" t="n"/>
      <c r="C2" s="2" t="n"/>
      <c r="D2" s="2" t="n"/>
      <c r="E2" s="2" t="n"/>
      <c r="F2" s="2" t="n"/>
      <c r="G2" s="2" t="n"/>
      <c r="H2" s="2" t="n"/>
      <c r="I2" s="3" t="n"/>
      <c r="J2" s="3" t="n"/>
      <c r="K2" s="3" t="n"/>
      <c r="L2" s="3" t="n"/>
      <c r="M2" s="3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3.25" customHeight="1">
      <c r="A3" s="1" t="n"/>
      <c r="B3" s="107" t="inlineStr">
        <is>
          <t>한국잠사플레이팜 일일마감일지</t>
        </is>
      </c>
      <c r="I3" s="3" t="n"/>
      <c r="J3" s="3" t="n"/>
      <c r="K3" s="3" t="n"/>
      <c r="L3" s="3" t="n"/>
      <c r="M3" s="3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</row>
    <row r="4" ht="15" customHeight="1">
      <c r="A4" s="1" t="n"/>
      <c r="B4" s="110" t="inlineStr">
        <is>
          <t>일자</t>
        </is>
      </c>
      <c r="C4" s="108" t="n"/>
      <c r="D4" s="143" t="n"/>
      <c r="E4" s="110" t="inlineStr">
        <is>
          <t>담당자</t>
        </is>
      </c>
      <c r="F4" s="143" t="n"/>
      <c r="G4" s="111" t="n"/>
      <c r="H4" s="143" t="n"/>
      <c r="I4" s="3" t="n"/>
      <c r="J4" s="3" t="n"/>
      <c r="K4" s="3" t="n"/>
      <c r="L4" s="3" t="n"/>
      <c r="M4" s="3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</row>
    <row r="5" ht="16.5" customHeight="1">
      <c r="A5" s="2" t="n"/>
      <c r="B5" s="5" t="inlineStr">
        <is>
          <t>구분</t>
        </is>
      </c>
      <c r="C5" s="144" t="inlineStr">
        <is>
          <t>내용</t>
        </is>
      </c>
      <c r="D5" s="145" t="n"/>
      <c r="E5" s="6" t="inlineStr">
        <is>
          <t>입장인원</t>
        </is>
      </c>
      <c r="F5" s="6" t="inlineStr">
        <is>
          <t>실입장객</t>
        </is>
      </c>
      <c r="G5" s="6" t="inlineStr">
        <is>
          <t>카드 결제</t>
        </is>
      </c>
      <c r="H5" s="17" t="inlineStr">
        <is>
          <t>매출합계</t>
        </is>
      </c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</row>
    <row r="6" hidden="1" ht="15.75" customFormat="1" customHeight="1" s="29">
      <c r="A6" s="28" t="n"/>
      <c r="B6" s="129" t="inlineStr">
        <is>
          <t>매표
 (입장)</t>
        </is>
      </c>
      <c r="C6" s="115" t="inlineStr">
        <is>
          <t>입장권</t>
        </is>
      </c>
      <c r="D6" s="73" t="inlineStr">
        <is>
          <t>라이프 입장권</t>
        </is>
      </c>
      <c r="E6" s="8" t="n"/>
      <c r="F6" s="8" t="n"/>
      <c r="G6" s="8" t="n"/>
      <c r="H6" s="8">
        <f>9900*F6</f>
        <v/>
      </c>
      <c r="I6" s="3" t="n"/>
      <c r="J6" s="3" t="n"/>
      <c r="K6" s="3" t="n"/>
      <c r="L6" s="3" t="n"/>
      <c r="M6" s="3" t="n"/>
      <c r="N6" s="28" t="n"/>
      <c r="O6" s="28" t="n"/>
      <c r="P6" s="28" t="n"/>
      <c r="Q6" s="28" t="n"/>
      <c r="R6" s="28" t="n"/>
      <c r="S6" s="28" t="n"/>
      <c r="T6" s="28" t="n"/>
      <c r="U6" s="28" t="n"/>
      <c r="V6" s="28" t="n"/>
      <c r="W6" s="28" t="n"/>
      <c r="X6" s="28" t="n"/>
      <c r="Y6" s="28" t="n"/>
    </row>
    <row r="7" ht="15.75" customFormat="1" customHeight="1" s="29">
      <c r="A7" s="28" t="n"/>
      <c r="B7" s="146" t="n"/>
      <c r="C7" s="146" t="n"/>
      <c r="D7" s="73" t="inlineStr">
        <is>
          <t>라이프 오후권</t>
        </is>
      </c>
      <c r="E7" s="74" t="n"/>
      <c r="F7" s="74" t="n"/>
      <c r="G7" s="74" t="n"/>
      <c r="H7" s="74">
        <f>7900*F7</f>
        <v/>
      </c>
      <c r="I7" s="3" t="n"/>
      <c r="J7" s="3" t="n"/>
      <c r="K7" s="3" t="n"/>
      <c r="L7" s="3" t="n"/>
      <c r="M7" s="3" t="n"/>
      <c r="N7" s="28" t="n"/>
      <c r="O7" s="28" t="n"/>
      <c r="P7" s="28" t="n"/>
      <c r="Q7" s="28" t="n"/>
      <c r="R7" s="28" t="n"/>
      <c r="S7" s="28" t="n"/>
      <c r="T7" s="28" t="n"/>
      <c r="U7" s="28" t="n"/>
      <c r="V7" s="28" t="n"/>
      <c r="W7" s="28" t="n"/>
      <c r="X7" s="28" t="n"/>
      <c r="Y7" s="28" t="n"/>
    </row>
    <row r="8" ht="15.75" customFormat="1" customHeight="1" s="29">
      <c r="A8" s="28" t="n"/>
      <c r="B8" s="146" t="n"/>
      <c r="C8" s="146" t="n"/>
      <c r="D8" s="73" t="inlineStr">
        <is>
          <t>라이프 종일권</t>
        </is>
      </c>
      <c r="E8" s="74" t="n"/>
      <c r="F8" s="74" t="n"/>
      <c r="G8" s="74" t="n"/>
      <c r="H8" s="74">
        <f>9900*F8</f>
        <v/>
      </c>
      <c r="I8" s="3" t="n"/>
      <c r="J8" s="3" t="n"/>
      <c r="K8" s="3" t="n"/>
      <c r="L8" s="3" t="n"/>
      <c r="M8" s="3" t="n"/>
      <c r="N8" s="28" t="n"/>
      <c r="O8" s="28" t="n"/>
      <c r="P8" s="28" t="n"/>
      <c r="Q8" s="28" t="n"/>
      <c r="R8" s="28" t="n"/>
      <c r="S8" s="28" t="n"/>
      <c r="T8" s="28" t="n"/>
      <c r="U8" s="28" t="n"/>
      <c r="V8" s="28" t="n"/>
      <c r="W8" s="28" t="n"/>
      <c r="X8" s="28" t="n"/>
      <c r="Y8" s="28" t="n"/>
    </row>
    <row r="9" ht="15.75" customFormat="1" customHeight="1" s="29">
      <c r="A9" s="28" t="n"/>
      <c r="B9" s="146" t="n"/>
      <c r="C9" s="146" t="n"/>
      <c r="D9" s="73" t="inlineStr">
        <is>
          <t>네이버 입장권</t>
        </is>
      </c>
      <c r="E9" s="74" t="n"/>
      <c r="F9" s="74" t="n"/>
      <c r="G9" s="74" t="n"/>
      <c r="H9" s="74">
        <f>13000*F9</f>
        <v/>
      </c>
      <c r="I9" s="3" t="n"/>
      <c r="J9" s="3" t="n"/>
      <c r="K9" s="3" t="n"/>
      <c r="L9" s="3" t="n"/>
      <c r="M9" s="3" t="n"/>
      <c r="N9" s="28" t="n"/>
      <c r="O9" s="28" t="n"/>
      <c r="P9" s="28" t="n"/>
      <c r="Q9" s="28" t="n"/>
      <c r="R9" s="28" t="n"/>
      <c r="S9" s="28" t="n"/>
      <c r="T9" s="28" t="n"/>
      <c r="U9" s="28" t="n"/>
      <c r="V9" s="28" t="n"/>
      <c r="W9" s="28" t="n"/>
      <c r="X9" s="28" t="n"/>
      <c r="Y9" s="28" t="n"/>
    </row>
    <row r="10" ht="15.75" customFormat="1" customHeight="1" s="29">
      <c r="A10" s="28" t="n"/>
      <c r="B10" s="146" t="n"/>
      <c r="C10" s="146" t="n"/>
      <c r="D10" s="73" t="inlineStr">
        <is>
          <t>입장권_청주시민</t>
        </is>
      </c>
      <c r="E10" s="74" t="n"/>
      <c r="F10" s="74" t="n"/>
      <c r="G10" s="74" t="n"/>
      <c r="H10" s="74">
        <f>13000*F10</f>
        <v/>
      </c>
      <c r="I10" s="3" t="n"/>
      <c r="J10" s="3" t="n"/>
      <c r="K10" s="3" t="n"/>
      <c r="L10" s="3" t="n"/>
      <c r="M10" s="3" t="n"/>
      <c r="N10" s="28" t="n"/>
      <c r="O10" s="28" t="n"/>
      <c r="P10" s="28" t="n"/>
      <c r="Q10" s="28" t="n"/>
      <c r="R10" s="28" t="n"/>
      <c r="S10" s="28" t="n"/>
      <c r="T10" s="28" t="n"/>
      <c r="U10" s="28" t="n"/>
      <c r="V10" s="28" t="n"/>
      <c r="W10" s="28" t="n"/>
      <c r="X10" s="28" t="n"/>
      <c r="Y10" s="28" t="n"/>
    </row>
    <row r="11" ht="15.75" customFormat="1" customHeight="1" s="29">
      <c r="A11" s="31" t="n"/>
      <c r="B11" s="146" t="n"/>
      <c r="C11" s="146" t="n"/>
      <c r="D11" s="73" t="inlineStr">
        <is>
          <t>입장권</t>
        </is>
      </c>
      <c r="E11" s="74" t="n"/>
      <c r="F11" s="74" t="n"/>
      <c r="G11" s="74" t="n"/>
      <c r="H11" s="74">
        <f>15000*F11</f>
        <v/>
      </c>
      <c r="I11" s="3" t="n"/>
      <c r="J11" s="3" t="n"/>
      <c r="K11" s="3" t="n"/>
      <c r="L11" s="3" t="n"/>
      <c r="M11" s="3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</row>
    <row r="12" hidden="1" ht="15.75" customFormat="1" customHeight="1" s="29">
      <c r="A12" s="28" t="n"/>
      <c r="B12" s="146" t="n"/>
      <c r="C12" s="146" t="n"/>
      <c r="D12" s="75" t="inlineStr">
        <is>
          <t>교사공무원 동반할인</t>
        </is>
      </c>
      <c r="E12" s="74" t="n"/>
      <c r="F12" s="74" t="n"/>
      <c r="G12" s="74" t="n"/>
      <c r="H12" s="74">
        <f>10000*F12</f>
        <v/>
      </c>
      <c r="I12" s="3" t="n"/>
      <c r="J12" s="3" t="n"/>
      <c r="K12" s="3" t="n"/>
      <c r="L12" s="3" t="n"/>
      <c r="M12" s="3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</row>
    <row r="13" hidden="1" ht="15.75" customFormat="1" customHeight="1" s="29">
      <c r="A13" s="28" t="n"/>
      <c r="B13" s="146" t="n"/>
      <c r="C13" s="146" t="n"/>
      <c r="D13" s="20" t="inlineStr">
        <is>
          <t>제휴할인쿠폰</t>
        </is>
      </c>
      <c r="E13" s="8" t="n"/>
      <c r="F13" s="8" t="n"/>
      <c r="G13" s="8" t="n"/>
      <c r="H13" s="8">
        <f>10000*F13</f>
        <v/>
      </c>
      <c r="I13" s="3" t="n"/>
      <c r="J13" s="3" t="n"/>
      <c r="K13" s="3" t="n"/>
      <c r="L13" s="3" t="n"/>
      <c r="M13" s="3" t="n"/>
      <c r="N13" s="28" t="n"/>
      <c r="O13" s="28" t="n"/>
      <c r="P13" s="28" t="n"/>
      <c r="Q13" s="28" t="n"/>
      <c r="R13" s="28" t="n"/>
      <c r="S13" s="28" t="n"/>
      <c r="T13" s="28" t="n"/>
      <c r="U13" s="28" t="n"/>
      <c r="V13" s="28" t="n"/>
      <c r="W13" s="28" t="n"/>
      <c r="X13" s="28" t="n"/>
      <c r="Y13" s="28" t="n"/>
    </row>
    <row r="14" hidden="1" ht="15.75" customFormat="1" customHeight="1" s="29">
      <c r="A14" s="28" t="n"/>
      <c r="B14" s="146" t="n"/>
      <c r="C14" s="146" t="n"/>
      <c r="D14" s="20" t="inlineStr">
        <is>
          <t>기업 동반할인</t>
        </is>
      </c>
      <c r="E14" s="8" t="n"/>
      <c r="F14" s="8" t="n"/>
      <c r="G14" s="8" t="n"/>
      <c r="H14" s="8">
        <f>10000*F14</f>
        <v/>
      </c>
      <c r="I14" s="3" t="n"/>
      <c r="J14" s="3" t="n"/>
      <c r="K14" s="3" t="n"/>
      <c r="L14" s="3" t="n"/>
      <c r="M14" s="3" t="n"/>
      <c r="N14" s="28" t="n"/>
      <c r="O14" s="28" t="n"/>
      <c r="P14" s="28" t="n"/>
      <c r="Q14" s="28" t="n"/>
      <c r="R14" s="28" t="n"/>
      <c r="S14" s="28" t="n"/>
      <c r="T14" s="28" t="n"/>
      <c r="U14" s="28" t="n"/>
      <c r="V14" s="28" t="n"/>
      <c r="W14" s="28" t="n"/>
      <c r="X14" s="28" t="n"/>
      <c r="Y14" s="28" t="n"/>
    </row>
    <row r="15" hidden="1" ht="15.75" customFormat="1" customHeight="1" s="29">
      <c r="A15" s="28" t="n"/>
      <c r="B15" s="146" t="n"/>
      <c r="C15" s="146" t="n"/>
      <c r="D15" s="20" t="inlineStr">
        <is>
          <t>박물관입장료</t>
        </is>
      </c>
      <c r="E15" s="8" t="n"/>
      <c r="F15" s="8" t="n"/>
      <c r="G15" s="8" t="n"/>
      <c r="H15" s="8">
        <f>10000*F15</f>
        <v/>
      </c>
      <c r="I15" s="3" t="n"/>
      <c r="J15" s="3" t="n"/>
      <c r="K15" s="3" t="n"/>
      <c r="L15" s="3" t="n"/>
      <c r="M15" s="3" t="n"/>
      <c r="N15" s="28" t="n"/>
      <c r="O15" s="28" t="n"/>
      <c r="P15" s="28" t="n"/>
      <c r="Q15" s="28" t="n"/>
      <c r="R15" s="28" t="n"/>
      <c r="S15" s="28" t="n"/>
      <c r="T15" s="28" t="n"/>
      <c r="U15" s="28" t="n"/>
      <c r="V15" s="28" t="n"/>
      <c r="W15" s="28" t="n"/>
      <c r="X15" s="28" t="n"/>
      <c r="Y15" s="28" t="n"/>
    </row>
    <row r="16" ht="15.75" customFormat="1" customHeight="1" s="29">
      <c r="A16" s="28" t="n"/>
      <c r="B16" s="146" t="n"/>
      <c r="C16" s="146" t="n"/>
      <c r="D16" s="7" t="inlineStr">
        <is>
          <t>입장권(우대권)</t>
        </is>
      </c>
      <c r="E16" s="8" t="n"/>
      <c r="F16" s="8" t="n"/>
      <c r="G16" s="8" t="n"/>
      <c r="H16" s="8">
        <f>12000*F16</f>
        <v/>
      </c>
      <c r="I16" s="3" t="n"/>
      <c r="J16" s="3" t="n"/>
      <c r="K16" s="3" t="n"/>
      <c r="L16" s="3" t="n"/>
      <c r="M16" s="3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</row>
    <row r="17" ht="15.75" customFormat="1" customHeight="1" s="29">
      <c r="A17" s="28" t="n"/>
      <c r="B17" s="146" t="n"/>
      <c r="C17" s="146" t="n"/>
      <c r="D17" s="73" t="inlineStr">
        <is>
          <t>체험단</t>
        </is>
      </c>
      <c r="E17" s="74" t="n"/>
      <c r="F17" s="74" t="n"/>
      <c r="G17" s="74" t="n"/>
      <c r="H17" s="74">
        <f>G17</f>
        <v/>
      </c>
      <c r="I17" s="3" t="n"/>
      <c r="J17" s="3" t="n"/>
      <c r="K17" s="3" t="n"/>
      <c r="L17" s="3" t="n"/>
      <c r="M17" s="3" t="n"/>
      <c r="N17" s="28" t="n"/>
      <c r="O17" s="28" t="n"/>
      <c r="P17" s="28" t="n"/>
      <c r="Q17" s="28" t="n"/>
      <c r="R17" s="28" t="n"/>
      <c r="S17" s="28" t="n"/>
      <c r="T17" s="28" t="n"/>
      <c r="U17" s="28" t="n"/>
      <c r="V17" s="28" t="n"/>
      <c r="W17" s="28" t="n"/>
      <c r="X17" s="28" t="n"/>
      <c r="Y17" s="28" t="n"/>
    </row>
    <row r="18" hidden="1" ht="15.75" customFormat="1" customHeight="1" s="29">
      <c r="A18" s="28" t="n"/>
      <c r="B18" s="146" t="n"/>
      <c r="C18" s="146" t="n"/>
      <c r="D18" s="10" t="inlineStr">
        <is>
          <t>초대권</t>
        </is>
      </c>
      <c r="E18" s="11" t="n"/>
      <c r="F18" s="11" t="n"/>
      <c r="G18" s="11" t="n"/>
      <c r="H18" s="8">
        <f>G18</f>
        <v/>
      </c>
      <c r="I18" s="3" t="n"/>
      <c r="J18" s="3" t="n"/>
      <c r="K18" s="3" t="n"/>
      <c r="L18" s="3" t="n"/>
      <c r="M18" s="3" t="n"/>
      <c r="N18" s="28" t="n"/>
      <c r="O18" s="28" t="n"/>
      <c r="P18" s="28" t="n"/>
      <c r="Q18" s="28" t="n"/>
      <c r="R18" s="28" t="n"/>
      <c r="S18" s="28" t="n"/>
      <c r="T18" s="28" t="n"/>
      <c r="U18" s="28" t="n"/>
      <c r="V18" s="28" t="n"/>
      <c r="W18" s="28" t="n"/>
      <c r="X18" s="28" t="n"/>
      <c r="Y18" s="28" t="n"/>
    </row>
    <row r="19" hidden="1" ht="15.75" customFormat="1" customHeight="1" s="29">
      <c r="A19" s="28" t="n"/>
      <c r="B19" s="146" t="n"/>
      <c r="C19" s="146" t="n"/>
      <c r="D19" s="22" t="inlineStr">
        <is>
          <t>기업 무료</t>
        </is>
      </c>
      <c r="E19" s="23" t="n"/>
      <c r="F19" s="23" t="n"/>
      <c r="G19" s="23" t="n"/>
      <c r="H19" s="8" t="n"/>
      <c r="I19" s="3" t="n"/>
      <c r="J19" s="3" t="n"/>
      <c r="K19" s="3" t="n"/>
      <c r="L19" s="3" t="n"/>
      <c r="M19" s="3" t="n"/>
      <c r="N19" s="28" t="n"/>
      <c r="O19" s="28" t="n"/>
      <c r="P19" s="28" t="n"/>
      <c r="Q19" s="28" t="n"/>
      <c r="R19" s="28" t="n"/>
      <c r="S19" s="28" t="n"/>
      <c r="T19" s="28" t="n"/>
      <c r="U19" s="28" t="n"/>
      <c r="V19" s="28" t="n"/>
      <c r="W19" s="28" t="n"/>
      <c r="X19" s="28" t="n"/>
      <c r="Y19" s="28" t="n"/>
    </row>
    <row r="20" hidden="1" ht="15.75" customFormat="1" customHeight="1" s="29">
      <c r="A20" s="28" t="n"/>
      <c r="B20" s="146" t="n"/>
      <c r="C20" s="146" t="n"/>
      <c r="D20" s="22" t="inlineStr">
        <is>
          <t>시즌패스</t>
        </is>
      </c>
      <c r="E20" s="23" t="n"/>
      <c r="F20" s="23" t="n"/>
      <c r="G20" s="23" t="n"/>
      <c r="H20" s="8" t="n"/>
      <c r="I20" s="3" t="n"/>
      <c r="J20" s="3" t="n"/>
      <c r="K20" s="3" t="n"/>
      <c r="L20" s="3" t="n"/>
      <c r="M20" s="3" t="n"/>
      <c r="N20" s="28" t="n"/>
      <c r="O20" s="28" t="n"/>
      <c r="P20" s="28" t="n"/>
      <c r="Q20" s="28" t="n"/>
      <c r="R20" s="28" t="n"/>
      <c r="S20" s="28" t="n"/>
      <c r="T20" s="28" t="n"/>
      <c r="U20" s="28" t="n"/>
      <c r="V20" s="28" t="n"/>
      <c r="W20" s="28" t="n"/>
      <c r="X20" s="28" t="n"/>
      <c r="Y20" s="28" t="n"/>
    </row>
    <row r="21" hidden="1" ht="15.75" customFormat="1" customHeight="1" s="29">
      <c r="A21" s="31" t="n"/>
      <c r="B21" s="146" t="n"/>
      <c r="C21" s="146" t="n"/>
      <c r="D21" s="76" t="inlineStr">
        <is>
          <t>공무원 무료</t>
        </is>
      </c>
      <c r="E21" s="77" t="n"/>
      <c r="F21" s="77" t="n"/>
      <c r="G21" s="78" t="n"/>
      <c r="H21" s="74" t="n"/>
      <c r="I21" s="3" t="n"/>
      <c r="J21" s="3" t="n"/>
      <c r="K21" s="3" t="n"/>
      <c r="L21" s="3" t="n"/>
      <c r="M21" s="3" t="n"/>
      <c r="N21" s="28" t="n"/>
      <c r="O21" s="28" t="n"/>
      <c r="P21" s="28" t="n"/>
      <c r="Q21" s="28" t="n"/>
      <c r="R21" s="28" t="n"/>
      <c r="S21" s="28" t="n"/>
      <c r="T21" s="28" t="n"/>
      <c r="U21" s="28" t="n"/>
      <c r="V21" s="28" t="n"/>
      <c r="W21" s="28" t="n"/>
      <c r="X21" s="28" t="n"/>
      <c r="Y21" s="28" t="n"/>
    </row>
    <row r="22" hidden="1" ht="15.75" customFormat="1" customHeight="1" s="29">
      <c r="A22" s="28" t="n"/>
      <c r="B22" s="146" t="n"/>
      <c r="C22" s="146" t="n"/>
      <c r="D22" s="79" t="inlineStr">
        <is>
          <t>교사무료입장</t>
        </is>
      </c>
      <c r="E22" s="78" t="n"/>
      <c r="F22" s="80" t="n"/>
      <c r="G22" s="81" t="n"/>
      <c r="H22" s="74" t="n"/>
      <c r="I22" s="3" t="n"/>
      <c r="J22" s="3" t="n"/>
      <c r="K22" s="3" t="n"/>
      <c r="L22" s="3" t="n"/>
      <c r="M22" s="3" t="n"/>
      <c r="N22" s="28" t="n"/>
      <c r="O22" s="28" t="n"/>
      <c r="P22" s="28" t="n"/>
      <c r="Q22" s="28" t="n"/>
      <c r="R22" s="28" t="n"/>
      <c r="S22" s="28" t="n"/>
      <c r="T22" s="28" t="n"/>
      <c r="U22" s="28" t="n"/>
      <c r="V22" s="28" t="n"/>
      <c r="W22" s="28" t="n"/>
      <c r="X22" s="28" t="n"/>
      <c r="Y22" s="28" t="n"/>
    </row>
    <row r="23" hidden="1" ht="15.75" customFormat="1" customHeight="1" s="29">
      <c r="A23" s="28" t="n"/>
      <c r="B23" s="146" t="n"/>
      <c r="C23" s="131" t="inlineStr">
        <is>
          <t>단체</t>
        </is>
      </c>
      <c r="D23" s="82" t="inlineStr">
        <is>
          <t>단체입장료</t>
        </is>
      </c>
      <c r="E23" s="83" t="n"/>
      <c r="F23" s="84" t="n"/>
      <c r="G23" s="83" t="n"/>
      <c r="H23" s="74">
        <f>12000*F23</f>
        <v/>
      </c>
      <c r="I23" s="3" t="n"/>
      <c r="J23" s="3" t="n"/>
      <c r="K23" s="3" t="n"/>
      <c r="L23" s="3" t="n"/>
      <c r="M23" s="3" t="n"/>
      <c r="N23" s="28" t="n"/>
      <c r="O23" s="28" t="n"/>
      <c r="P23" s="28" t="n"/>
      <c r="Q23" s="28" t="n"/>
      <c r="R23" s="28" t="n"/>
      <c r="S23" s="28" t="n"/>
      <c r="T23" s="28" t="n"/>
      <c r="U23" s="28" t="n"/>
      <c r="V23" s="28" t="n"/>
      <c r="W23" s="28" t="n"/>
      <c r="X23" s="28" t="n"/>
      <c r="Y23" s="28" t="n"/>
    </row>
    <row r="24" hidden="1" ht="15.75" customFormat="1" customHeight="1" s="29">
      <c r="A24" s="28" t="n"/>
      <c r="B24" s="146" t="n"/>
      <c r="C24" s="147" t="n"/>
      <c r="D24" s="32" t="inlineStr">
        <is>
          <t>단체기타</t>
        </is>
      </c>
      <c r="E24" s="12" t="n"/>
      <c r="F24" s="13" t="n"/>
      <c r="G24" s="12" t="n"/>
      <c r="H24" s="8" t="n"/>
      <c r="I24" s="3" t="n"/>
      <c r="J24" s="3" t="n"/>
      <c r="K24" s="3" t="n"/>
      <c r="L24" s="3" t="n"/>
      <c r="M24" s="3" t="n"/>
      <c r="N24" s="28" t="n"/>
      <c r="O24" s="28" t="n"/>
      <c r="P24" s="28" t="n"/>
      <c r="Q24" s="28" t="n"/>
      <c r="R24" s="28" t="n"/>
      <c r="S24" s="28" t="n"/>
      <c r="T24" s="28" t="n"/>
      <c r="U24" s="28" t="n"/>
      <c r="V24" s="28" t="n"/>
      <c r="W24" s="28" t="n"/>
      <c r="X24" s="28" t="n"/>
      <c r="Y24" s="28" t="n"/>
    </row>
    <row r="25" hidden="1" ht="15.75" customFormat="1" customHeight="1" s="29">
      <c r="A25" s="28" t="n"/>
      <c r="B25" s="146" t="n"/>
      <c r="C25" s="148" t="n"/>
      <c r="D25" s="32" t="inlineStr">
        <is>
          <t>단체식사</t>
        </is>
      </c>
      <c r="E25" s="12" t="n"/>
      <c r="F25" s="13" t="n"/>
      <c r="G25" s="12" t="n"/>
      <c r="H25" s="8">
        <f>10000*F25</f>
        <v/>
      </c>
      <c r="I25" s="3" t="n"/>
      <c r="J25" s="3" t="n"/>
      <c r="K25" s="3" t="n"/>
      <c r="L25" s="3" t="n"/>
      <c r="M25" s="3" t="n"/>
      <c r="N25" s="28" t="n"/>
      <c r="O25" s="28" t="n"/>
      <c r="P25" s="28" t="n"/>
      <c r="Q25" s="28" t="n"/>
      <c r="R25" s="28" t="n"/>
      <c r="S25" s="28" t="n"/>
      <c r="T25" s="28" t="n"/>
      <c r="U25" s="28" t="n"/>
      <c r="V25" s="28" t="n"/>
      <c r="W25" s="28" t="n"/>
      <c r="X25" s="28" t="n"/>
      <c r="Y25" s="28" t="n"/>
    </row>
    <row r="26">
      <c r="A26" s="1" t="n"/>
      <c r="B26" s="149" t="inlineStr">
        <is>
          <t>소 계</t>
        </is>
      </c>
      <c r="C26" s="150" t="n"/>
      <c r="D26" s="151" t="n"/>
      <c r="E26" s="14">
        <f>SUM(E6:E25)</f>
        <v/>
      </c>
      <c r="F26" s="40">
        <f>SUM(F6:F23)</f>
        <v/>
      </c>
      <c r="G26" s="40">
        <f>SUM(G6:G25)</f>
        <v/>
      </c>
      <c r="H26" s="40">
        <f>SUM(H6:H25)</f>
        <v/>
      </c>
      <c r="I26" s="3" t="n"/>
      <c r="J26" s="3" t="n"/>
      <c r="K26" s="3" t="n"/>
      <c r="L26" s="3" t="n"/>
      <c r="M26" s="3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</row>
    <row r="27" ht="15.75" customHeight="1">
      <c r="A27" s="1" t="n"/>
      <c r="B27" s="122" t="inlineStr">
        <is>
          <t>매 점</t>
        </is>
      </c>
      <c r="C27" s="35" t="inlineStr">
        <is>
          <t>현장결제</t>
        </is>
      </c>
      <c r="D27" s="89" t="inlineStr">
        <is>
          <t>달고나 만들기체험</t>
        </is>
      </c>
      <c r="E27" s="54" t="n"/>
      <c r="F27" s="90" t="n"/>
      <c r="G27" s="55" t="n"/>
      <c r="H27" s="90" t="n"/>
      <c r="I27" s="3" t="n"/>
      <c r="J27" s="3" t="n"/>
      <c r="K27" s="3" t="n"/>
      <c r="L27" s="3" t="n"/>
      <c r="M27" s="3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</row>
    <row r="28" ht="15.75" customHeight="1">
      <c r="A28" s="1" t="n"/>
      <c r="B28" s="122" t="n"/>
      <c r="C28" s="35" t="n"/>
      <c r="D28" s="89" t="inlineStr">
        <is>
          <t>오디잼</t>
        </is>
      </c>
      <c r="E28" s="54" t="n"/>
      <c r="F28" s="90" t="n"/>
      <c r="G28" s="55" t="n"/>
      <c r="H28" s="90" t="n"/>
      <c r="I28" s="3" t="n"/>
      <c r="J28" s="3" t="n"/>
      <c r="K28" s="3" t="n"/>
      <c r="L28" s="3" t="n"/>
      <c r="M28" s="3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</row>
    <row r="29" ht="15.75" customHeight="1">
      <c r="A29" s="1" t="n"/>
      <c r="B29" s="121" t="n"/>
      <c r="C29" s="121" t="n"/>
      <c r="D29" s="89" t="inlineStr">
        <is>
          <t>생수</t>
        </is>
      </c>
      <c r="E29" s="54" t="n"/>
      <c r="F29" s="90" t="n"/>
      <c r="G29" s="55" t="n"/>
      <c r="H29" s="90" t="n"/>
      <c r="I29" s="3" t="n"/>
      <c r="J29" s="3" t="n"/>
      <c r="K29" s="3" t="n"/>
      <c r="L29" s="3" t="n"/>
      <c r="M29" s="3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</row>
    <row r="30" hidden="1" ht="15.75" customHeight="1">
      <c r="A30" s="1" t="n"/>
      <c r="B30" s="121" t="n"/>
      <c r="C30" s="121" t="n"/>
      <c r="D30" s="89" t="n"/>
      <c r="E30" s="54" t="n"/>
      <c r="F30" s="90" t="n"/>
      <c r="G30" s="55" t="n"/>
      <c r="H30" s="90" t="n"/>
      <c r="I30" s="3" t="n"/>
      <c r="J30" s="3" t="n"/>
      <c r="K30" s="3" t="n"/>
      <c r="L30" s="3" t="n"/>
      <c r="M30" s="3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</row>
    <row r="31" hidden="1" ht="15.75" customHeight="1">
      <c r="A31" s="1" t="n"/>
      <c r="B31" s="123" t="n"/>
      <c r="C31" s="66" t="n"/>
      <c r="D31" s="89" t="n"/>
      <c r="E31" s="54" t="n"/>
      <c r="F31" s="90" t="n"/>
      <c r="G31" s="55" t="n"/>
      <c r="H31" s="90" t="n"/>
      <c r="I31" s="3" t="n"/>
      <c r="J31" s="3" t="n"/>
      <c r="K31" s="3" t="n"/>
      <c r="L31" s="3" t="n"/>
      <c r="M31" s="3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</row>
    <row r="32" hidden="1" ht="15.75" customHeight="1">
      <c r="A32" s="1" t="n"/>
      <c r="B32" s="122" t="n"/>
      <c r="C32" s="35" t="n"/>
      <c r="D32" s="72" t="n"/>
      <c r="E32" s="54" t="n"/>
      <c r="F32" s="67" t="n"/>
      <c r="G32" s="55" t="n"/>
      <c r="H32" s="67" t="n"/>
      <c r="I32" s="3" t="n"/>
      <c r="J32" s="3" t="n"/>
      <c r="K32" s="3" t="n"/>
      <c r="L32" s="3" t="n"/>
      <c r="M32" s="3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</row>
    <row r="33" hidden="1" ht="15.75" customHeight="1">
      <c r="A33" s="1" t="n"/>
      <c r="B33" s="122" t="n"/>
      <c r="C33" s="35" t="n"/>
      <c r="D33" s="72" t="n"/>
      <c r="E33" s="54" t="n"/>
      <c r="F33" s="67" t="n"/>
      <c r="G33" s="55" t="n"/>
      <c r="H33" s="67" t="n"/>
      <c r="I33" s="3" t="n"/>
      <c r="J33" s="3" t="n"/>
      <c r="K33" s="3" t="n"/>
      <c r="L33" s="3" t="n"/>
      <c r="M33" s="3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</row>
    <row r="34" hidden="1" ht="15.75" customHeight="1">
      <c r="A34" s="1" t="n"/>
      <c r="B34" s="122" t="n"/>
      <c r="C34" s="35" t="n"/>
      <c r="D34" s="72" t="n"/>
      <c r="E34" s="54" t="n"/>
      <c r="F34" s="67" t="n"/>
      <c r="G34" s="55" t="n"/>
      <c r="H34" s="67" t="n"/>
      <c r="I34" s="3" t="n"/>
      <c r="J34" s="3" t="n"/>
      <c r="K34" s="3" t="n"/>
      <c r="L34" s="3" t="n"/>
      <c r="M34" s="3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</row>
    <row r="35" hidden="1" ht="15.75" customHeight="1">
      <c r="A35" s="1" t="n"/>
      <c r="B35" s="122" t="n"/>
      <c r="C35" s="35" t="n"/>
      <c r="D35" s="72" t="n"/>
      <c r="E35" s="54" t="n"/>
      <c r="F35" s="67" t="n"/>
      <c r="G35" s="55" t="n"/>
      <c r="H35" s="67" t="n"/>
      <c r="I35" s="3" t="n"/>
      <c r="J35" s="3" t="n"/>
      <c r="K35" s="3" t="n"/>
      <c r="L35" s="3" t="n"/>
      <c r="M35" s="3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</row>
    <row r="36" hidden="1" ht="15.75" customHeight="1">
      <c r="A36" s="1" t="n"/>
      <c r="B36" s="122" t="n"/>
      <c r="C36" s="35" t="n"/>
      <c r="D36" s="72" t="n"/>
      <c r="E36" s="54" t="n"/>
      <c r="F36" s="67" t="n"/>
      <c r="G36" s="55" t="n"/>
      <c r="H36" s="67" t="n"/>
      <c r="I36" s="3" t="n"/>
      <c r="J36" s="3" t="n"/>
      <c r="K36" s="3" t="n"/>
      <c r="L36" s="3" t="n"/>
      <c r="M36" s="3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</row>
    <row r="37" hidden="1" ht="15.75" customHeight="1">
      <c r="A37" s="1" t="n"/>
      <c r="B37" s="122" t="n"/>
      <c r="C37" s="35" t="n"/>
      <c r="D37" s="87" t="n"/>
      <c r="E37" s="54" t="n"/>
      <c r="F37" s="88" t="n"/>
      <c r="G37" s="55" t="n"/>
      <c r="H37" s="88" t="n"/>
      <c r="I37" s="3" t="n"/>
      <c r="J37" s="3" t="n"/>
      <c r="K37" s="3" t="n"/>
      <c r="L37" s="3" t="n"/>
      <c r="M37" s="3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</row>
    <row r="38" hidden="1" ht="15.75" customHeight="1">
      <c r="A38" s="1" t="n"/>
      <c r="B38" s="122" t="n"/>
      <c r="C38" s="35" t="n"/>
      <c r="D38" s="72" t="n"/>
      <c r="E38" s="54" t="n"/>
      <c r="F38" s="67" t="n"/>
      <c r="G38" s="55" t="n"/>
      <c r="H38" s="67" t="n"/>
      <c r="I38" s="3" t="n"/>
      <c r="J38" s="3" t="n"/>
      <c r="K38" s="3" t="n"/>
      <c r="L38" s="3" t="n"/>
      <c r="M38" s="3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</row>
    <row r="39" hidden="1" ht="15.75" customHeight="1">
      <c r="A39" s="1" t="n"/>
      <c r="B39" s="122" t="n"/>
      <c r="C39" s="35" t="n"/>
      <c r="D39" s="72" t="n"/>
      <c r="E39" s="54" t="n"/>
      <c r="F39" s="67" t="n"/>
      <c r="G39" s="55" t="n"/>
      <c r="H39" s="67" t="n"/>
      <c r="I39" s="3" t="n"/>
      <c r="J39" s="3" t="n"/>
      <c r="K39" s="3" t="n"/>
      <c r="L39" s="3" t="n"/>
      <c r="M39" s="3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</row>
    <row r="40" hidden="1" ht="15.75" customHeight="1">
      <c r="A40" s="1" t="n"/>
      <c r="B40" s="122" t="n"/>
      <c r="C40" s="35" t="n"/>
      <c r="D40" s="72" t="n"/>
      <c r="E40" s="54" t="n"/>
      <c r="F40" s="67" t="n"/>
      <c r="G40" s="55" t="n"/>
      <c r="H40" s="67" t="n"/>
      <c r="I40" s="3" t="n"/>
      <c r="J40" s="3" t="n"/>
      <c r="K40" s="3" t="n"/>
      <c r="L40" s="3" t="n"/>
      <c r="M40" s="3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</row>
    <row r="41" hidden="1" ht="15.75" customHeight="1">
      <c r="A41" s="1" t="n"/>
      <c r="B41" s="122" t="n"/>
      <c r="C41" s="35" t="n"/>
      <c r="D41" s="72" t="n"/>
      <c r="E41" s="54" t="n"/>
      <c r="F41" s="67" t="n"/>
      <c r="G41" s="55" t="n"/>
      <c r="H41" s="67" t="n"/>
      <c r="I41" s="3" t="n"/>
      <c r="J41" s="3" t="n"/>
      <c r="K41" s="3" t="n"/>
      <c r="L41" s="3" t="n"/>
      <c r="M41" s="3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</row>
    <row r="42" hidden="1" ht="15.75" customHeight="1">
      <c r="A42" s="1" t="n"/>
      <c r="B42" s="122" t="n"/>
      <c r="C42" s="35" t="n"/>
      <c r="D42" s="72" t="n"/>
      <c r="E42" s="54" t="n"/>
      <c r="F42" s="67" t="n"/>
      <c r="G42" s="55" t="n"/>
      <c r="H42" s="67" t="n"/>
      <c r="I42" s="3" t="n"/>
      <c r="J42" s="3" t="n"/>
      <c r="K42" s="3" t="n"/>
      <c r="L42" s="3" t="n"/>
      <c r="M42" s="3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</row>
    <row r="43" hidden="1" ht="15.75" customHeight="1">
      <c r="A43" s="1" t="n"/>
      <c r="B43" s="122" t="n"/>
      <c r="C43" s="35" t="n"/>
      <c r="D43" s="72" t="n"/>
      <c r="E43" s="54" t="n"/>
      <c r="F43" s="67" t="n"/>
      <c r="G43" s="55" t="n"/>
      <c r="H43" s="67" t="n"/>
      <c r="I43" s="3" t="n"/>
      <c r="J43" s="3" t="n"/>
      <c r="K43" s="3" t="n"/>
      <c r="L43" s="3" t="n"/>
      <c r="M43" s="3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</row>
    <row r="44" hidden="1" ht="15.75" customHeight="1">
      <c r="A44" s="1" t="n"/>
      <c r="B44" s="122" t="n"/>
      <c r="C44" s="35" t="n"/>
      <c r="D44" s="72" t="n"/>
      <c r="E44" s="54" t="n"/>
      <c r="F44" s="67" t="n"/>
      <c r="G44" s="55" t="n"/>
      <c r="H44" s="67" t="n"/>
      <c r="I44" s="3" t="n"/>
      <c r="J44" s="3" t="n"/>
      <c r="K44" s="3" t="n"/>
      <c r="L44" s="3" t="n"/>
      <c r="M44" s="3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</row>
    <row r="45" hidden="1" ht="15.75" customHeight="1">
      <c r="A45" s="1" t="n"/>
      <c r="B45" s="122" t="n"/>
      <c r="C45" s="122" t="n"/>
      <c r="D45" s="64" t="n"/>
      <c r="E45" s="39" t="n"/>
      <c r="F45" s="23" t="n"/>
      <c r="G45" s="23" t="n"/>
      <c r="H45" s="58" t="n"/>
      <c r="I45" s="3" t="n"/>
      <c r="J45" s="3" t="n"/>
      <c r="K45" s="3" t="n"/>
      <c r="L45" s="3" t="n"/>
      <c r="M45" s="3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</row>
    <row r="46" ht="15.75" customHeight="1">
      <c r="A46" s="1" t="n"/>
      <c r="B46" s="105" t="inlineStr">
        <is>
          <t>소 계</t>
        </is>
      </c>
      <c r="C46" s="152" t="n"/>
      <c r="D46" s="153" t="n"/>
      <c r="E46" s="63">
        <f>SUM(E27:E45)</f>
        <v/>
      </c>
      <c r="F46" s="61">
        <f>SUM(F27:F45)</f>
        <v/>
      </c>
      <c r="G46" s="61">
        <f>SUM(G27:G45)</f>
        <v/>
      </c>
      <c r="H46" s="61">
        <f>SUM(H27:H45)</f>
        <v/>
      </c>
      <c r="I46" s="3" t="n"/>
      <c r="J46" s="3" t="n"/>
      <c r="K46" s="3" t="n"/>
      <c r="L46" s="3" t="n"/>
      <c r="M46" s="3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</row>
    <row r="47" ht="15.75" customHeight="1">
      <c r="A47" s="1" t="n"/>
      <c r="B47" s="33" t="inlineStr">
        <is>
          <t>누에쉼터</t>
        </is>
      </c>
      <c r="C47" s="121" t="inlineStr">
        <is>
          <t>현장결제</t>
        </is>
      </c>
      <c r="D47" s="141" t="inlineStr">
        <is>
          <t>캔음료</t>
        </is>
      </c>
      <c r="E47" s="54" t="n"/>
      <c r="F47" s="142" t="n"/>
      <c r="G47" s="55" t="n"/>
      <c r="H47" s="142" t="n"/>
      <c r="I47" s="3" t="n"/>
      <c r="J47" s="3" t="n"/>
      <c r="K47" s="3" t="n"/>
      <c r="L47" s="3" t="n"/>
      <c r="M47" s="3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</row>
    <row r="48" ht="15.75" customHeight="1">
      <c r="A48" s="1" t="n"/>
      <c r="B48" s="33" t="n"/>
      <c r="C48" s="121" t="n"/>
      <c r="D48" s="141" t="inlineStr">
        <is>
          <t>어린이음료(뽀로로)</t>
        </is>
      </c>
      <c r="E48" s="54" t="n"/>
      <c r="F48" s="142" t="n"/>
      <c r="G48" s="55" t="n"/>
      <c r="H48" s="142" t="n"/>
      <c r="I48" s="3" t="n"/>
      <c r="J48" s="3" t="n"/>
      <c r="K48" s="3" t="n"/>
      <c r="L48" s="3" t="n"/>
      <c r="M48" s="3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</row>
    <row r="49" ht="15.75" customHeight="1">
      <c r="A49" s="1" t="n"/>
      <c r="B49" s="33" t="n"/>
      <c r="C49" s="121" t="n"/>
      <c r="D49" s="141" t="inlineStr">
        <is>
          <t>컵라면</t>
        </is>
      </c>
      <c r="E49" s="54" t="n"/>
      <c r="F49" s="142" t="n"/>
      <c r="G49" s="55" t="n"/>
      <c r="H49" s="142" t="n"/>
      <c r="I49" s="3" t="n"/>
      <c r="J49" s="3" t="n"/>
      <c r="K49" s="3" t="n"/>
      <c r="L49" s="3" t="n"/>
      <c r="M49" s="3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</row>
    <row r="50" ht="15.75" customHeight="1">
      <c r="A50" s="1" t="n"/>
      <c r="B50" s="33" t="n"/>
      <c r="C50" s="121" t="n"/>
      <c r="D50" s="141" t="inlineStr">
        <is>
          <t>ICE아메리카노</t>
        </is>
      </c>
      <c r="E50" s="54" t="n"/>
      <c r="F50" s="142" t="n"/>
      <c r="G50" s="55" t="n"/>
      <c r="H50" s="142" t="n"/>
      <c r="I50" s="3" t="n"/>
      <c r="J50" s="3" t="n"/>
      <c r="K50" s="3" t="n"/>
      <c r="L50" s="3" t="n"/>
      <c r="M50" s="3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</row>
    <row r="51" ht="15.75" customHeight="1">
      <c r="A51" s="1" t="n"/>
      <c r="B51" s="33" t="n"/>
      <c r="C51" s="121" t="n"/>
      <c r="D51" s="141" t="inlineStr">
        <is>
          <t>빙어체험(15마리)</t>
        </is>
      </c>
      <c r="E51" s="54" t="n"/>
      <c r="F51" s="142" t="n"/>
      <c r="G51" s="55" t="n"/>
      <c r="H51" s="142" t="n"/>
      <c r="I51" s="3" t="n"/>
      <c r="J51" s="3" t="n"/>
      <c r="K51" s="3" t="n"/>
      <c r="L51" s="3" t="n"/>
      <c r="M51" s="3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</row>
    <row r="52" ht="15.75" customHeight="1">
      <c r="A52" s="1" t="n"/>
      <c r="B52" s="33" t="n"/>
      <c r="C52" s="121" t="n"/>
      <c r="D52" s="141" t="inlineStr">
        <is>
          <t>솜사탕</t>
        </is>
      </c>
      <c r="E52" s="54" t="n"/>
      <c r="F52" s="142" t="n"/>
      <c r="G52" s="55" t="n"/>
      <c r="H52" s="142" t="n"/>
      <c r="I52" s="3" t="n"/>
      <c r="J52" s="3" t="n"/>
      <c r="K52" s="3" t="n"/>
      <c r="L52" s="3" t="n"/>
      <c r="M52" s="3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</row>
    <row r="53" ht="15.75" customHeight="1">
      <c r="A53" s="1" t="n"/>
      <c r="B53" s="33" t="n"/>
      <c r="C53" s="121" t="n"/>
      <c r="D53" s="141" t="inlineStr">
        <is>
          <t>꼬치어묵1인분</t>
        </is>
      </c>
      <c r="E53" s="54" t="n"/>
      <c r="F53" s="142" t="n"/>
      <c r="G53" s="55" t="n"/>
      <c r="H53" s="142" t="n"/>
      <c r="I53" s="3" t="n"/>
      <c r="J53" s="3" t="n"/>
      <c r="K53" s="3" t="n"/>
      <c r="L53" s="3" t="n"/>
      <c r="M53" s="3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</row>
    <row r="54" ht="15.75" customHeight="1">
      <c r="A54" s="1" t="n"/>
      <c r="B54" s="33" t="n"/>
      <c r="C54" s="121" t="n"/>
      <c r="D54" s="141" t="inlineStr">
        <is>
          <t>핫도그</t>
        </is>
      </c>
      <c r="E54" s="54" t="n"/>
      <c r="F54" s="142" t="n"/>
      <c r="G54" s="55" t="n"/>
      <c r="H54" s="142" t="n"/>
      <c r="I54" s="3" t="n"/>
      <c r="J54" s="3" t="n"/>
      <c r="K54" s="3" t="n"/>
      <c r="L54" s="3" t="n"/>
      <c r="M54" s="3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</row>
    <row r="55" ht="15.75" customHeight="1">
      <c r="A55" s="1" t="n"/>
      <c r="B55" s="33" t="n"/>
      <c r="C55" s="121" t="n"/>
      <c r="D55" s="141" t="inlineStr">
        <is>
          <t>한강라면</t>
        </is>
      </c>
      <c r="E55" s="54" t="n"/>
      <c r="F55" s="142" t="n"/>
      <c r="G55" s="55" t="n"/>
      <c r="H55" s="142" t="n"/>
      <c r="I55" s="3" t="n"/>
      <c r="J55" s="3" t="n"/>
      <c r="K55" s="3" t="n"/>
      <c r="L55" s="3" t="n"/>
      <c r="M55" s="3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</row>
    <row r="56" ht="15.75" customHeight="1">
      <c r="A56" s="1" t="n"/>
      <c r="B56" s="33" t="n"/>
      <c r="C56" s="121" t="n"/>
      <c r="D56" s="141" t="inlineStr">
        <is>
          <t>버블건</t>
        </is>
      </c>
      <c r="E56" s="54" t="n"/>
      <c r="F56" s="142" t="n"/>
      <c r="G56" s="55" t="n"/>
      <c r="H56" s="142" t="n"/>
      <c r="I56" s="3" t="n"/>
      <c r="J56" s="3" t="n"/>
      <c r="K56" s="3" t="n"/>
      <c r="L56" s="3" t="n"/>
      <c r="M56" s="3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</row>
    <row r="57" ht="15.75" customHeight="1">
      <c r="A57" s="1" t="n"/>
      <c r="B57" s="33" t="n"/>
      <c r="C57" s="121" t="n"/>
      <c r="D57" s="141" t="inlineStr">
        <is>
          <t>떡볶이</t>
        </is>
      </c>
      <c r="E57" s="54" t="n"/>
      <c r="F57" s="142" t="n"/>
      <c r="G57" s="55" t="n"/>
      <c r="H57" s="142" t="n"/>
      <c r="I57" s="3" t="n"/>
      <c r="J57" s="3" t="n"/>
      <c r="K57" s="3" t="n"/>
      <c r="L57" s="3" t="n"/>
      <c r="M57" s="3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</row>
    <row r="58" ht="15.75" customHeight="1">
      <c r="A58" s="1" t="n"/>
      <c r="B58" s="33" t="n"/>
      <c r="C58" s="121" t="n"/>
      <c r="D58" s="141" t="inlineStr">
        <is>
          <t>회오리감자</t>
        </is>
      </c>
      <c r="E58" s="54" t="n"/>
      <c r="F58" s="142" t="n"/>
      <c r="G58" s="55" t="n"/>
      <c r="H58" s="142" t="n"/>
      <c r="I58" s="3" t="n"/>
      <c r="J58" s="3" t="n"/>
      <c r="K58" s="3" t="n"/>
      <c r="L58" s="3" t="n"/>
      <c r="M58" s="3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</row>
    <row r="59" ht="15.75" customHeight="1">
      <c r="A59" s="1" t="n"/>
      <c r="B59" s="33" t="n"/>
      <c r="C59" s="121" t="n"/>
      <c r="D59" s="141" t="inlineStr">
        <is>
          <t>감자튀김</t>
        </is>
      </c>
      <c r="E59" s="54" t="n"/>
      <c r="F59" s="142" t="n"/>
      <c r="G59" s="55" t="n"/>
      <c r="H59" s="142" t="n"/>
      <c r="I59" s="3" t="n"/>
      <c r="J59" s="3" t="n"/>
      <c r="K59" s="3" t="n"/>
      <c r="L59" s="3" t="n"/>
      <c r="M59" s="3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</row>
    <row r="60" ht="15.75" customHeight="1">
      <c r="A60" s="1" t="n"/>
      <c r="B60" s="33" t="n"/>
      <c r="C60" s="121" t="n"/>
      <c r="D60" s="141" t="inlineStr">
        <is>
          <t>소떡소떡</t>
        </is>
      </c>
      <c r="E60" s="54" t="n"/>
      <c r="F60" s="142" t="n"/>
      <c r="G60" s="55" t="n"/>
      <c r="H60" s="142" t="n"/>
      <c r="I60" s="3" t="n"/>
      <c r="J60" s="3" t="n"/>
      <c r="K60" s="3" t="n"/>
      <c r="L60" s="3" t="n"/>
      <c r="M60" s="3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</row>
    <row r="61" ht="15.75" customHeight="1">
      <c r="A61" s="1" t="n"/>
      <c r="B61" s="33" t="n"/>
      <c r="C61" s="121" t="n"/>
      <c r="D61" s="141" t="inlineStr">
        <is>
          <t>TOP커피(HOT)</t>
        </is>
      </c>
      <c r="E61" s="54" t="n"/>
      <c r="F61" s="142" t="n"/>
      <c r="G61" s="55" t="n"/>
      <c r="H61" s="142" t="n"/>
      <c r="I61" s="3" t="n"/>
      <c r="J61" s="3" t="n"/>
      <c r="K61" s="3" t="n"/>
      <c r="L61" s="3" t="n"/>
      <c r="M61" s="3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</row>
    <row r="62" ht="15.75" customHeight="1">
      <c r="A62" s="1" t="n"/>
      <c r="B62" s="33" t="n"/>
      <c r="C62" s="121" t="n"/>
      <c r="D62" s="141" t="inlineStr">
        <is>
          <t>생수</t>
        </is>
      </c>
      <c r="E62" s="54" t="n"/>
      <c r="F62" s="142" t="n"/>
      <c r="G62" s="55" t="n"/>
      <c r="H62" s="142" t="n"/>
      <c r="I62" s="3" t="n"/>
      <c r="J62" s="3" t="n"/>
      <c r="K62" s="3" t="n"/>
      <c r="L62" s="3" t="n"/>
      <c r="M62" s="3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</row>
    <row r="63" ht="15.75" customHeight="1">
      <c r="A63" s="1" t="n"/>
      <c r="B63" s="33" t="n"/>
      <c r="C63" s="121" t="n"/>
      <c r="D63" s="141" t="inlineStr">
        <is>
          <t>빙어튀김(1인분)</t>
        </is>
      </c>
      <c r="E63" s="54" t="n"/>
      <c r="F63" s="142" t="n"/>
      <c r="G63" s="55" t="n"/>
      <c r="H63" s="142" t="n"/>
      <c r="I63" s="3" t="n"/>
      <c r="J63" s="3" t="n"/>
      <c r="K63" s="3" t="n"/>
      <c r="L63" s="3" t="n"/>
      <c r="M63" s="3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</row>
    <row r="64" ht="15.75" customHeight="1">
      <c r="A64" s="1" t="n"/>
      <c r="B64" s="33" t="n"/>
      <c r="C64" s="121" t="n"/>
      <c r="D64" s="141" t="inlineStr">
        <is>
          <t>치킨팝콘</t>
        </is>
      </c>
      <c r="E64" s="54" t="n"/>
      <c r="F64" s="142" t="n"/>
      <c r="G64" s="55" t="n"/>
      <c r="H64" s="142" t="n"/>
      <c r="I64" s="3" t="n"/>
      <c r="J64" s="3" t="n"/>
      <c r="K64" s="3" t="n"/>
      <c r="L64" s="3" t="n"/>
      <c r="M64" s="3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</row>
    <row r="65" ht="15.75" customHeight="1">
      <c r="A65" s="1" t="n"/>
      <c r="B65" s="33" t="n"/>
      <c r="C65" s="121" t="n"/>
      <c r="D65" s="141" t="inlineStr">
        <is>
          <t>체다치즈핫도그</t>
        </is>
      </c>
      <c r="E65" s="54" t="n"/>
      <c r="F65" s="142" t="n"/>
      <c r="G65" s="55" t="n"/>
      <c r="H65" s="142" t="n"/>
      <c r="I65" s="3" t="n"/>
      <c r="J65" s="3" t="n"/>
      <c r="K65" s="3" t="n"/>
      <c r="L65" s="3" t="n"/>
      <c r="M65" s="3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</row>
    <row r="66" ht="15.75" customHeight="1">
      <c r="A66" s="1" t="n"/>
      <c r="B66" s="33" t="n"/>
      <c r="C66" s="121" t="n"/>
      <c r="D66" s="141" t="inlineStr">
        <is>
          <t>핫초코</t>
        </is>
      </c>
      <c r="E66" s="54" t="n"/>
      <c r="F66" s="142" t="n"/>
      <c r="G66" s="55" t="n"/>
      <c r="H66" s="142" t="n"/>
      <c r="I66" s="3" t="n"/>
      <c r="J66" s="3" t="n"/>
      <c r="K66" s="3" t="n"/>
      <c r="L66" s="3" t="n"/>
      <c r="M66" s="3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</row>
    <row r="67" ht="15.75" customHeight="1">
      <c r="A67" s="1" t="n"/>
      <c r="B67" s="33" t="n"/>
      <c r="C67" s="121" t="n"/>
      <c r="D67" s="141" t="inlineStr">
        <is>
          <t>호떡(1개)</t>
        </is>
      </c>
      <c r="E67" s="54" t="n"/>
      <c r="F67" s="142" t="n"/>
      <c r="G67" s="55" t="n"/>
      <c r="H67" s="142" t="n"/>
      <c r="I67" s="3" t="n"/>
      <c r="J67" s="3" t="n"/>
      <c r="K67" s="3" t="n"/>
      <c r="L67" s="3" t="n"/>
      <c r="M67" s="3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</row>
    <row r="68" ht="15.75" customHeight="1">
      <c r="A68" s="1" t="n"/>
      <c r="B68" s="33" t="n"/>
      <c r="C68" s="121" t="n"/>
      <c r="D68" s="141" t="inlineStr">
        <is>
          <t>토끼마시멜로우</t>
        </is>
      </c>
      <c r="E68" s="54" t="n"/>
      <c r="F68" s="142" t="n"/>
      <c r="G68" s="55" t="n"/>
      <c r="H68" s="142" t="n"/>
      <c r="I68" s="3" t="n"/>
      <c r="J68" s="3" t="n"/>
      <c r="K68" s="3" t="n"/>
      <c r="L68" s="3" t="n"/>
      <c r="M68" s="3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</row>
    <row r="69" ht="15.75" customHeight="1">
      <c r="A69" s="1" t="n"/>
      <c r="B69" s="33" t="n"/>
      <c r="C69" s="121" t="n"/>
      <c r="D69" s="141" t="inlineStr">
        <is>
          <t>발핫팩 2개</t>
        </is>
      </c>
      <c r="E69" s="54" t="n"/>
      <c r="F69" s="142" t="n"/>
      <c r="G69" s="55" t="n"/>
      <c r="H69" s="142" t="n"/>
      <c r="I69" s="3" t="n"/>
      <c r="J69" s="3" t="n"/>
      <c r="K69" s="3" t="n"/>
      <c r="L69" s="3" t="n"/>
      <c r="M69" s="3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</row>
    <row r="70" ht="15.75" customHeight="1">
      <c r="A70" s="1" t="n"/>
      <c r="B70" s="137" t="n"/>
      <c r="C70" s="46" t="n"/>
      <c r="D70" s="141" t="inlineStr">
        <is>
          <t>소세지</t>
        </is>
      </c>
      <c r="E70" s="54" t="n"/>
      <c r="F70" s="142" t="n"/>
      <c r="G70" s="55" t="n"/>
      <c r="H70" s="142" t="n"/>
      <c r="I70" s="3" t="n"/>
      <c r="J70" s="3" t="n"/>
      <c r="K70" s="3" t="n"/>
      <c r="L70" s="3" t="n"/>
      <c r="M70" s="3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</row>
    <row r="71" ht="15.75" customHeight="1">
      <c r="A71" s="1" t="n"/>
      <c r="B71" s="33" t="n"/>
      <c r="C71" s="36" t="n"/>
      <c r="D71" s="141" t="inlineStr">
        <is>
          <t>과자</t>
        </is>
      </c>
      <c r="E71" s="54" t="n"/>
      <c r="F71" s="142" t="n"/>
      <c r="G71" s="55" t="n"/>
      <c r="H71" s="142" t="n"/>
      <c r="I71" s="3" t="n"/>
      <c r="J71" s="3" t="n"/>
      <c r="K71" s="3" t="n"/>
      <c r="L71" s="3" t="n"/>
      <c r="M71" s="3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</row>
    <row r="72" hidden="1" ht="15.75" customHeight="1">
      <c r="A72" s="1" t="n"/>
      <c r="B72" s="33" t="n"/>
      <c r="C72" s="36" t="n"/>
      <c r="D72" s="72" t="n"/>
      <c r="E72" s="54" t="n"/>
      <c r="F72" s="67" t="n"/>
      <c r="G72" s="55" t="n"/>
      <c r="H72" s="67" t="n"/>
      <c r="I72" s="3" t="n"/>
      <c r="J72" s="3" t="n"/>
      <c r="K72" s="3" t="n"/>
      <c r="L72" s="3" t="n"/>
      <c r="M72" s="3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</row>
    <row r="73" hidden="1" ht="15.75" customHeight="1">
      <c r="A73" s="1" t="n"/>
      <c r="B73" s="33" t="n"/>
      <c r="C73" s="36" t="n"/>
      <c r="D73" s="72" t="n"/>
      <c r="E73" s="54" t="n"/>
      <c r="F73" s="67" t="n"/>
      <c r="G73" s="55" t="n"/>
      <c r="H73" s="67" t="n"/>
      <c r="I73" s="3" t="n"/>
      <c r="J73" s="3" t="n"/>
      <c r="K73" s="3" t="n"/>
      <c r="L73" s="3" t="n"/>
      <c r="M73" s="3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</row>
    <row r="74" hidden="1" ht="15.75" customHeight="1">
      <c r="A74" s="1" t="n"/>
      <c r="B74" s="33" t="n"/>
      <c r="C74" s="36" t="n"/>
      <c r="D74" s="72" t="n"/>
      <c r="E74" s="54" t="n"/>
      <c r="F74" s="67" t="n"/>
      <c r="G74" s="55" t="n"/>
      <c r="H74" s="67" t="n"/>
      <c r="I74" s="3" t="n"/>
      <c r="J74" s="3" t="n"/>
      <c r="K74" s="3" t="n"/>
      <c r="L74" s="3" t="n"/>
      <c r="M74" s="3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</row>
    <row r="75" hidden="1" ht="15.75" customHeight="1">
      <c r="A75" s="1" t="n"/>
      <c r="B75" s="33" t="n"/>
      <c r="C75" s="36" t="n"/>
      <c r="D75" s="72" t="n"/>
      <c r="E75" s="54" t="n"/>
      <c r="F75" s="67" t="n"/>
      <c r="G75" s="55" t="n"/>
      <c r="H75" s="67" t="n"/>
      <c r="I75" s="3" t="n"/>
      <c r="J75" s="3" t="n"/>
      <c r="K75" s="3" t="n"/>
      <c r="L75" s="3" t="n"/>
      <c r="M75" s="3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</row>
    <row r="76" hidden="1" ht="15.75" customHeight="1">
      <c r="A76" s="1" t="n"/>
      <c r="B76" s="33" t="n"/>
      <c r="C76" s="36" t="n"/>
      <c r="D76" s="72" t="n"/>
      <c r="E76" s="54" t="n"/>
      <c r="F76" s="67" t="n"/>
      <c r="G76" s="55" t="n"/>
      <c r="H76" s="67" t="n"/>
      <c r="I76" s="3" t="n"/>
      <c r="J76" s="3" t="n"/>
      <c r="K76" s="3" t="n"/>
      <c r="L76" s="3" t="n"/>
      <c r="M76" s="3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</row>
    <row r="77" hidden="1" ht="15.75" customHeight="1">
      <c r="A77" s="1" t="n"/>
      <c r="B77" s="33" t="n"/>
      <c r="C77" s="36" t="n"/>
      <c r="D77" s="72" t="n"/>
      <c r="E77" s="39" t="n"/>
      <c r="F77" s="67" t="n"/>
      <c r="G77" s="55" t="n"/>
      <c r="H77" s="67" t="n"/>
      <c r="I77" s="3" t="n"/>
      <c r="J77" s="3" t="n"/>
      <c r="K77" s="3" t="n"/>
      <c r="L77" s="3" t="n"/>
      <c r="M77" s="3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</row>
    <row r="78" hidden="1" ht="15.75" customHeight="1">
      <c r="A78" s="1" t="n"/>
      <c r="B78" s="33" t="n"/>
      <c r="C78" s="36" t="n"/>
      <c r="D78" s="72" t="n"/>
      <c r="E78" s="39" t="n"/>
      <c r="F78" s="88" t="n"/>
      <c r="G78" s="55" t="n"/>
      <c r="H78" s="88" t="n"/>
      <c r="I78" s="3" t="n"/>
      <c r="J78" s="3" t="n"/>
      <c r="K78" s="3" t="n"/>
      <c r="L78" s="3" t="n"/>
      <c r="M78" s="3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</row>
    <row r="79" hidden="1" ht="15.75" customHeight="1">
      <c r="A79" s="1" t="n"/>
      <c r="B79" s="41" t="n"/>
      <c r="C79" s="122" t="n"/>
      <c r="D79" s="87" t="n"/>
      <c r="E79" s="3" t="n"/>
      <c r="F79" s="88" t="n"/>
      <c r="G79" s="55" t="n"/>
      <c r="H79" s="88" t="n"/>
      <c r="I79" s="3" t="n"/>
      <c r="J79" s="3" t="n"/>
      <c r="K79" s="3" t="n"/>
      <c r="L79" s="3" t="n"/>
      <c r="M79" s="3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</row>
    <row r="80" hidden="1" ht="15.75" customHeight="1">
      <c r="A80" s="1" t="n"/>
      <c r="B80" s="41" t="n"/>
      <c r="C80" s="122" t="n"/>
      <c r="D80" s="87" t="n"/>
      <c r="E80" s="23" t="n"/>
      <c r="F80" s="88" t="n"/>
      <c r="G80" s="55" t="n"/>
      <c r="H80" s="88" t="n"/>
      <c r="I80" s="3" t="n"/>
      <c r="J80" s="3" t="n"/>
      <c r="K80" s="3" t="n"/>
      <c r="L80" s="3" t="n"/>
      <c r="M80" s="3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</row>
    <row r="81" hidden="1" ht="15.75" customHeight="1">
      <c r="A81" s="1" t="n"/>
      <c r="B81" s="41" t="n"/>
      <c r="C81" s="122" t="n"/>
      <c r="D81" s="87" t="n"/>
      <c r="E81" s="23" t="n"/>
      <c r="F81" s="88" t="n"/>
      <c r="G81" s="55" t="n"/>
      <c r="H81" s="88" t="n"/>
      <c r="I81" s="3" t="n"/>
      <c r="J81" s="3" t="n"/>
      <c r="K81" s="3" t="n"/>
      <c r="L81" s="3" t="n"/>
      <c r="M81" s="3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</row>
    <row r="82" hidden="1" ht="15.75" customHeight="1">
      <c r="A82" s="1" t="n"/>
      <c r="B82" s="41" t="n"/>
      <c r="C82" s="122" t="n"/>
      <c r="D82" s="72" t="n"/>
      <c r="E82" s="23" t="n"/>
      <c r="F82" s="86" t="n"/>
      <c r="G82" s="55" t="n"/>
      <c r="H82" s="86" t="n"/>
      <c r="I82" s="3" t="n"/>
      <c r="J82" s="3" t="n"/>
      <c r="K82" s="3" t="n"/>
      <c r="L82" s="3" t="n"/>
      <c r="M82" s="3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</row>
    <row r="83" hidden="1" ht="15.75" customHeight="1">
      <c r="A83" s="1" t="n"/>
      <c r="B83" s="41" t="n"/>
      <c r="C83" s="122" t="n"/>
      <c r="D83" s="70" t="n"/>
      <c r="E83" s="3" t="n"/>
      <c r="F83" s="67" t="n"/>
      <c r="G83" s="55" t="n"/>
      <c r="H83" s="67" t="n"/>
      <c r="I83" s="3" t="n"/>
      <c r="J83" s="3" t="n"/>
      <c r="K83" s="3" t="n"/>
      <c r="L83" s="3" t="n"/>
      <c r="M83" s="3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</row>
    <row r="84" ht="15.75" customHeight="1">
      <c r="A84" s="1" t="n"/>
      <c r="B84" s="154" t="inlineStr">
        <is>
          <t>소 계</t>
        </is>
      </c>
      <c r="D84" s="155" t="n"/>
      <c r="E84" s="63">
        <f>SUM(E47:E79)</f>
        <v/>
      </c>
      <c r="F84" s="61">
        <f>SUM(F47:F80)</f>
        <v/>
      </c>
      <c r="G84" s="61">
        <f>SUM(G47:G79)</f>
        <v/>
      </c>
      <c r="H84" s="61">
        <f>SUM(H47:H83)</f>
        <v/>
      </c>
      <c r="I84" s="3" t="n"/>
      <c r="J84" s="3" t="n"/>
      <c r="K84" s="3" t="n"/>
      <c r="L84" s="3" t="n"/>
      <c r="M84" s="3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</row>
    <row r="85" ht="15.75" customHeight="1">
      <c r="A85" s="1" t="n"/>
      <c r="B85" s="33" t="inlineStr">
        <is>
          <t>단체식당</t>
        </is>
      </c>
      <c r="C85" s="121" t="inlineStr">
        <is>
          <t>현장결제</t>
        </is>
      </c>
      <c r="D85" s="141" t="inlineStr">
        <is>
          <t>돈까스+우동 세트</t>
        </is>
      </c>
      <c r="E85" s="54" t="n"/>
      <c r="F85" s="142" t="n"/>
      <c r="G85" s="55" t="n"/>
      <c r="H85" s="142" t="n"/>
      <c r="I85" s="37" t="n"/>
      <c r="J85" s="3" t="n"/>
      <c r="K85" s="3" t="n"/>
      <c r="L85" s="3" t="n"/>
      <c r="M85" s="3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</row>
    <row r="86" ht="15.75" customHeight="1">
      <c r="A86" s="1" t="n"/>
      <c r="B86" s="33" t="n"/>
      <c r="C86" s="121" t="n"/>
      <c r="D86" s="141" t="inlineStr">
        <is>
          <t>분식세트</t>
        </is>
      </c>
      <c r="E86" s="54" t="n"/>
      <c r="F86" s="142" t="n"/>
      <c r="G86" s="55" t="n"/>
      <c r="H86" s="142" t="n"/>
      <c r="I86" s="37" t="n"/>
      <c r="J86" s="3" t="n"/>
      <c r="K86" s="3" t="n"/>
      <c r="L86" s="3" t="n"/>
      <c r="M86" s="3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</row>
    <row r="87" ht="15.75" customHeight="1">
      <c r="A87" s="1" t="n"/>
      <c r="B87" s="33" t="n"/>
      <c r="C87" s="121" t="n"/>
      <c r="D87" s="141" t="inlineStr">
        <is>
          <t>꼬치어묵1인분</t>
        </is>
      </c>
      <c r="E87" s="54" t="n"/>
      <c r="F87" s="142" t="n"/>
      <c r="G87" s="55" t="n"/>
      <c r="H87" s="142" t="n"/>
      <c r="I87" s="37" t="n"/>
      <c r="J87" s="3" t="n"/>
      <c r="K87" s="3" t="n"/>
      <c r="L87" s="3" t="n"/>
      <c r="M87" s="3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</row>
    <row r="88" ht="15.75" customHeight="1">
      <c r="A88" s="1" t="n"/>
      <c r="B88" s="33" t="n"/>
      <c r="C88" s="121" t="n"/>
      <c r="D88" s="141" t="inlineStr">
        <is>
          <t>소불고기볶음밥 세트</t>
        </is>
      </c>
      <c r="E88" s="54" t="n"/>
      <c r="F88" s="142" t="n"/>
      <c r="G88" s="55" t="n"/>
      <c r="H88" s="142" t="n"/>
      <c r="I88" s="37" t="n"/>
      <c r="J88" s="3" t="n"/>
      <c r="K88" s="3" t="n"/>
      <c r="L88" s="3" t="n"/>
      <c r="M88" s="3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</row>
    <row r="89" ht="15.75" customHeight="1">
      <c r="A89" s="1" t="n"/>
      <c r="B89" s="137" t="n"/>
      <c r="C89" s="46" t="n"/>
      <c r="D89" s="141" t="inlineStr">
        <is>
          <t>오디떡만둣국</t>
        </is>
      </c>
      <c r="E89" s="54" t="n"/>
      <c r="F89" s="142" t="n"/>
      <c r="G89" s="55" t="n"/>
      <c r="H89" s="142" t="n"/>
      <c r="I89" s="37" t="n"/>
      <c r="J89" s="3" t="n"/>
      <c r="K89" s="3" t="n"/>
      <c r="L89" s="3" t="n"/>
      <c r="M89" s="3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</row>
    <row r="90" ht="15.75" customHeight="1">
      <c r="A90" s="1" t="n"/>
      <c r="B90" s="33" t="n"/>
      <c r="C90" s="36" t="n"/>
      <c r="D90" s="141" t="inlineStr">
        <is>
          <t>생수</t>
        </is>
      </c>
      <c r="E90" s="54" t="n"/>
      <c r="F90" s="142" t="n"/>
      <c r="G90" s="55" t="n"/>
      <c r="H90" s="142" t="n"/>
      <c r="I90" s="37" t="n"/>
      <c r="J90" s="3" t="n"/>
      <c r="K90" s="3" t="n"/>
      <c r="L90" s="3" t="n"/>
      <c r="M90" s="3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</row>
    <row r="91" ht="15.75" customHeight="1">
      <c r="A91" s="1" t="n"/>
      <c r="B91" s="33" t="n"/>
      <c r="C91" s="36" t="n"/>
      <c r="D91" s="141" t="inlineStr">
        <is>
          <t>캔음료</t>
        </is>
      </c>
      <c r="E91" s="54" t="n"/>
      <c r="F91" s="142" t="n"/>
      <c r="G91" s="55" t="n"/>
      <c r="H91" s="142" t="n"/>
      <c r="I91" s="37" t="n"/>
      <c r="J91" s="3" t="n"/>
      <c r="K91" s="3" t="n"/>
      <c r="L91" s="3" t="n"/>
      <c r="M91" s="3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</row>
    <row r="92" ht="15.75" customHeight="1">
      <c r="A92" s="1" t="n"/>
      <c r="B92" s="33" t="n"/>
      <c r="C92" s="36" t="n"/>
      <c r="D92" s="141" t="inlineStr">
        <is>
          <t>소떡소떡</t>
        </is>
      </c>
      <c r="E92" s="54" t="n"/>
      <c r="F92" s="142" t="n"/>
      <c r="G92" s="55" t="n"/>
      <c r="H92" s="142" t="n"/>
      <c r="I92" s="37" t="n"/>
      <c r="J92" s="3" t="n"/>
      <c r="K92" s="3" t="n"/>
      <c r="L92" s="3" t="n"/>
      <c r="M92" s="3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</row>
    <row r="93" ht="15.75" customHeight="1">
      <c r="A93" s="1" t="n"/>
      <c r="B93" s="33" t="n"/>
      <c r="C93" s="36" t="n"/>
      <c r="D93" s="141" t="inlineStr">
        <is>
          <t>떡볶이</t>
        </is>
      </c>
      <c r="E93" s="54" t="n"/>
      <c r="F93" s="142" t="n"/>
      <c r="G93" s="55" t="n"/>
      <c r="H93" s="142" t="n"/>
      <c r="I93" s="37" t="n"/>
      <c r="J93" s="3" t="n"/>
      <c r="K93" s="3" t="n"/>
      <c r="L93" s="3" t="n"/>
      <c r="M93" s="3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</row>
    <row r="94" ht="15.75" customHeight="1">
      <c r="A94" s="1" t="n"/>
      <c r="B94" s="33" t="n"/>
      <c r="C94" s="36" t="n"/>
      <c r="D94" s="141" t="inlineStr">
        <is>
          <t>한강라면</t>
        </is>
      </c>
      <c r="E94" s="54" t="n"/>
      <c r="F94" s="142" t="n"/>
      <c r="G94" s="55" t="n"/>
      <c r="H94" s="142" t="n"/>
      <c r="I94" s="37" t="n"/>
      <c r="J94" s="3" t="n"/>
      <c r="K94" s="3" t="n"/>
      <c r="L94" s="3" t="n"/>
      <c r="M94" s="3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</row>
    <row r="95" ht="15.75" customHeight="1">
      <c r="A95" s="1" t="n"/>
      <c r="B95" s="33" t="n"/>
      <c r="C95" s="36" t="n"/>
      <c r="D95" s="141" t="inlineStr">
        <is>
          <t>컵라면</t>
        </is>
      </c>
      <c r="E95" s="54" t="n"/>
      <c r="F95" s="142" t="n"/>
      <c r="G95" s="55" t="n"/>
      <c r="H95" s="142" t="n"/>
      <c r="I95" s="37" t="n"/>
      <c r="J95" s="3" t="n"/>
      <c r="K95" s="3" t="n"/>
      <c r="L95" s="3" t="n"/>
      <c r="M95" s="3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</row>
    <row r="96" hidden="1" ht="15.75" customHeight="1">
      <c r="A96" s="1" t="n"/>
      <c r="B96" s="33" t="n"/>
      <c r="C96" s="36" t="n"/>
      <c r="D96" s="72" t="inlineStr">
        <is>
          <t>핫반</t>
        </is>
      </c>
      <c r="E96" s="54" t="n"/>
      <c r="F96" s="67" t="n"/>
      <c r="G96" s="55" t="n"/>
      <c r="H96" s="67" t="n"/>
      <c r="I96" s="37" t="n"/>
      <c r="J96" s="3" t="n"/>
      <c r="K96" s="3" t="n"/>
      <c r="L96" s="3" t="n"/>
      <c r="M96" s="3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</row>
    <row r="97" hidden="1" ht="15.75" customHeight="1">
      <c r="A97" s="1" t="n"/>
      <c r="B97" s="33" t="n"/>
      <c r="C97" s="36" t="n"/>
      <c r="D97" s="72" t="inlineStr">
        <is>
          <t>새우데리야끼볶음밥 세트</t>
        </is>
      </c>
      <c r="E97" s="54" t="n"/>
      <c r="F97" s="67" t="n"/>
      <c r="G97" s="55" t="n"/>
      <c r="H97" s="67" t="n"/>
      <c r="I97" s="37" t="n"/>
      <c r="J97" s="3" t="n"/>
      <c r="K97" s="3" t="n"/>
      <c r="L97" s="3" t="n"/>
      <c r="M97" s="3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</row>
    <row r="98" hidden="1" ht="15.75" customHeight="1">
      <c r="A98" s="1" t="n"/>
      <c r="B98" s="33" t="n"/>
      <c r="C98" s="36" t="n"/>
      <c r="D98" s="72" t="inlineStr">
        <is>
          <t>치킨 데리야끼볶음밥 세트</t>
        </is>
      </c>
      <c r="E98" s="54" t="n"/>
      <c r="F98" s="67" t="n"/>
      <c r="G98" s="55" t="n"/>
      <c r="H98" s="67" t="n"/>
      <c r="I98" s="37" t="n"/>
      <c r="J98" s="3" t="n"/>
      <c r="K98" s="3" t="n"/>
      <c r="L98" s="3" t="n"/>
      <c r="M98" s="3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</row>
    <row r="99" hidden="1" ht="15.75" customHeight="1">
      <c r="A99" s="1" t="n"/>
      <c r="B99" s="33" t="n"/>
      <c r="C99" s="36" t="n"/>
      <c r="D99" s="72" t="inlineStr">
        <is>
          <t>김치볶음밥 세트</t>
        </is>
      </c>
      <c r="E99" s="54" t="n"/>
      <c r="F99" s="67" t="n"/>
      <c r="G99" s="55" t="n"/>
      <c r="H99" s="67" t="n"/>
      <c r="I99" s="37" t="n"/>
      <c r="J99" s="3" t="n"/>
      <c r="K99" s="3" t="n"/>
      <c r="L99" s="3" t="n"/>
      <c r="M99" s="3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</row>
    <row r="100" hidden="1" ht="15.75" customHeight="1">
      <c r="A100" s="1" t="n"/>
      <c r="B100" s="33" t="n"/>
      <c r="C100" s="36" t="n"/>
      <c r="D100" s="72" t="n"/>
      <c r="E100" s="54" t="n"/>
      <c r="F100" s="67" t="n"/>
      <c r="G100" s="55" t="n"/>
      <c r="H100" s="67" t="n"/>
      <c r="I100" s="37" t="n"/>
      <c r="J100" s="3" t="n"/>
      <c r="K100" s="3" t="n"/>
      <c r="L100" s="3" t="n"/>
      <c r="M100" s="3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</row>
    <row r="101" hidden="1" ht="15.75" customHeight="1">
      <c r="A101" s="1" t="n"/>
      <c r="B101" s="33" t="n"/>
      <c r="C101" s="36" t="n"/>
      <c r="D101" s="72" t="n"/>
      <c r="E101" s="54" t="n"/>
      <c r="F101" s="67" t="n"/>
      <c r="G101" s="55" t="n"/>
      <c r="H101" s="67" t="n"/>
      <c r="I101" s="37" t="n"/>
      <c r="J101" s="3" t="n"/>
      <c r="K101" s="3" t="n"/>
      <c r="L101" s="3" t="n"/>
      <c r="M101" s="3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</row>
    <row r="102" hidden="1" ht="15.75" customHeight="1">
      <c r="A102" s="1" t="n"/>
      <c r="B102" s="33" t="n"/>
      <c r="C102" s="36" t="n"/>
      <c r="D102" s="72" t="n"/>
      <c r="E102" s="54" t="n"/>
      <c r="F102" s="67" t="n"/>
      <c r="G102" s="55" t="n"/>
      <c r="H102" s="67" t="n"/>
      <c r="I102" s="37" t="n"/>
      <c r="J102" s="3" t="n"/>
      <c r="K102" s="3" t="n"/>
      <c r="L102" s="3" t="n"/>
      <c r="M102" s="3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</row>
    <row r="103" hidden="1" ht="15.75" customHeight="1">
      <c r="A103" s="1" t="n"/>
      <c r="B103" s="33" t="n"/>
      <c r="C103" s="36" t="n"/>
      <c r="D103" s="72" t="n"/>
      <c r="E103" s="54" t="n"/>
      <c r="F103" s="67" t="n"/>
      <c r="G103" s="55" t="n"/>
      <c r="H103" s="67" t="n"/>
      <c r="I103" s="37" t="n"/>
      <c r="J103" s="3" t="n"/>
      <c r="K103" s="3" t="n"/>
      <c r="L103" s="3" t="n"/>
      <c r="M103" s="3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</row>
    <row r="104" hidden="1" ht="15.75" customHeight="1">
      <c r="A104" s="1" t="n"/>
      <c r="B104" s="33" t="n"/>
      <c r="C104" s="36" t="n"/>
      <c r="D104" s="72" t="n"/>
      <c r="E104" s="54" t="n"/>
      <c r="F104" s="88" t="n"/>
      <c r="G104" s="55" t="n"/>
      <c r="H104" s="88" t="n"/>
      <c r="I104" s="37" t="n"/>
      <c r="J104" s="3" t="n"/>
      <c r="K104" s="3" t="n"/>
      <c r="L104" s="3" t="n"/>
      <c r="M104" s="3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</row>
    <row r="105" hidden="1" ht="15.75" customHeight="1">
      <c r="A105" s="1" t="n"/>
      <c r="B105" s="41" t="n"/>
      <c r="C105" s="36" t="n"/>
      <c r="D105" s="87" t="n"/>
      <c r="E105" s="54" t="n"/>
      <c r="F105" s="88" t="n"/>
      <c r="G105" s="55" t="n"/>
      <c r="H105" s="88" t="n"/>
      <c r="I105" s="37" t="n"/>
      <c r="J105" s="3" t="n"/>
      <c r="K105" s="3" t="n"/>
      <c r="L105" s="3" t="n"/>
      <c r="M105" s="3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</row>
    <row r="106" hidden="1" ht="15.75" customHeight="1">
      <c r="A106" s="1" t="n"/>
      <c r="B106" s="41" t="n"/>
      <c r="C106" s="36" t="n"/>
      <c r="D106" s="72" t="n"/>
      <c r="E106" s="54" t="n"/>
      <c r="F106" s="67" t="n"/>
      <c r="G106" s="55" t="n"/>
      <c r="H106" s="67" t="n"/>
      <c r="I106" s="37" t="n"/>
      <c r="J106" s="3" t="n"/>
      <c r="K106" s="3" t="n"/>
      <c r="L106" s="3" t="n"/>
      <c r="M106" s="3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</row>
    <row r="107" hidden="1" ht="15.75" customHeight="1">
      <c r="A107" s="1" t="n"/>
      <c r="B107" s="41" t="n"/>
      <c r="C107" s="36" t="n"/>
      <c r="D107" s="72" t="n"/>
      <c r="E107" s="54" t="n"/>
      <c r="F107" s="67" t="n"/>
      <c r="G107" s="55" t="n"/>
      <c r="H107" s="67" t="n"/>
      <c r="I107" s="37" t="n"/>
      <c r="J107" s="3" t="n"/>
      <c r="K107" s="3" t="n"/>
      <c r="L107" s="3" t="n"/>
      <c r="M107" s="3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</row>
    <row r="108" hidden="1" ht="15.75" customHeight="1">
      <c r="A108" s="1" t="n"/>
      <c r="B108" s="41" t="n"/>
      <c r="C108" s="36" t="n"/>
      <c r="D108" s="85" t="n"/>
      <c r="E108" s="54" t="n"/>
      <c r="F108" s="86" t="n"/>
      <c r="G108" s="55" t="n"/>
      <c r="H108" s="86" t="n"/>
      <c r="I108" s="37" t="n"/>
      <c r="J108" s="3" t="n"/>
      <c r="K108" s="3" t="n"/>
      <c r="L108" s="3" t="n"/>
      <c r="M108" s="3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</row>
    <row r="109" hidden="1" ht="15.75" customHeight="1">
      <c r="A109" s="1" t="n"/>
      <c r="B109" s="41" t="n"/>
      <c r="C109" s="122" t="n"/>
      <c r="D109" s="65" t="n"/>
      <c r="E109" s="54" t="n"/>
      <c r="F109" s="60" t="n"/>
      <c r="G109" s="55" t="n"/>
      <c r="H109" s="62" t="n"/>
      <c r="I109" s="37" t="n"/>
      <c r="J109" s="3" t="n"/>
      <c r="K109" s="3" t="n"/>
      <c r="L109" s="3" t="n"/>
      <c r="M109" s="3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</row>
    <row r="110" ht="15.75" customHeight="1">
      <c r="A110" s="1" t="n"/>
      <c r="B110" s="105" t="inlineStr">
        <is>
          <t>소 계</t>
        </is>
      </c>
      <c r="C110" s="152" t="n"/>
      <c r="D110" s="153" t="n"/>
      <c r="E110" s="57">
        <f>SUM(E87:E109)</f>
        <v/>
      </c>
      <c r="F110" s="59">
        <f>SUM(F87:F104)</f>
        <v/>
      </c>
      <c r="G110" s="59">
        <f>SUM(G87:G109)</f>
        <v/>
      </c>
      <c r="H110" s="61">
        <f>SUM(H85:H109)</f>
        <v/>
      </c>
      <c r="I110" s="37" t="n"/>
      <c r="J110" s="3" t="n"/>
      <c r="K110" s="3" t="n"/>
      <c r="L110" s="3" t="n"/>
      <c r="M110" s="3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</row>
    <row r="111" ht="15.75" customHeight="1">
      <c r="A111" s="1" t="n"/>
      <c r="B111" s="137" t="inlineStr">
        <is>
          <t>양떼정원</t>
        </is>
      </c>
      <c r="C111" s="156" t="n"/>
      <c r="D111" s="157" t="n"/>
      <c r="E111" s="8" t="n"/>
      <c r="F111" s="8" t="n">
        <v>1</v>
      </c>
      <c r="G111" s="8" t="n"/>
      <c r="H111" s="8" t="n">
        <v>104000</v>
      </c>
      <c r="I111" s="3" t="n"/>
      <c r="J111" s="3" t="n"/>
      <c r="K111" s="3" t="n"/>
      <c r="L111" s="3" t="n"/>
      <c r="M111" s="3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</row>
    <row r="112" hidden="1" ht="15.75" customHeight="1">
      <c r="A112" s="30" t="n"/>
      <c r="B112" s="121" t="inlineStr">
        <is>
          <t>체 험</t>
        </is>
      </c>
      <c r="C112" s="117" t="inlineStr">
        <is>
          <t>현장결제</t>
        </is>
      </c>
      <c r="D112" s="22" t="inlineStr">
        <is>
          <t>바베큐 세트</t>
        </is>
      </c>
      <c r="E112" s="8" t="n"/>
      <c r="F112" s="8" t="n"/>
      <c r="G112" s="8" t="n"/>
      <c r="H112" s="8">
        <f>F112*49900</f>
        <v/>
      </c>
      <c r="I112" s="3" t="n"/>
      <c r="J112" s="3" t="n"/>
      <c r="K112" s="3" t="n"/>
      <c r="L112" s="3" t="n"/>
      <c r="M112" s="3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</row>
    <row r="113" hidden="1" ht="15.75" customHeight="1">
      <c r="A113" s="30" t="n"/>
      <c r="B113" s="147" t="n"/>
      <c r="C113" s="147" t="n"/>
      <c r="D113" s="22" t="inlineStr">
        <is>
          <t>불판,버너,상차림</t>
        </is>
      </c>
      <c r="E113" s="8" t="n"/>
      <c r="F113" s="8" t="n"/>
      <c r="G113" s="8" t="n"/>
      <c r="H113" s="8">
        <f>F113*39000</f>
        <v/>
      </c>
      <c r="I113" s="3" t="n"/>
      <c r="J113" s="3" t="n"/>
      <c r="K113" s="3" t="n"/>
      <c r="L113" s="3" t="n"/>
      <c r="M113" s="3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</row>
    <row r="114" hidden="1" ht="14.25" customHeight="1">
      <c r="A114" s="1" t="n"/>
      <c r="B114" s="147" t="n"/>
      <c r="C114" s="147" t="n"/>
      <c r="D114" s="22" t="inlineStr">
        <is>
          <t>불판,버너</t>
        </is>
      </c>
      <c r="E114" s="8" t="n"/>
      <c r="F114" s="8" t="n"/>
      <c r="G114" s="8" t="n"/>
      <c r="H114" s="8">
        <f>F114*13000</f>
        <v/>
      </c>
      <c r="I114" s="3" t="n"/>
      <c r="J114" s="3" t="n"/>
      <c r="K114" s="3" t="n"/>
      <c r="L114" s="3" t="n"/>
      <c r="M114" s="3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</row>
    <row r="115" hidden="1" ht="14.25" customHeight="1">
      <c r="A115" s="1" t="n"/>
      <c r="B115" s="147" t="n"/>
      <c r="C115" s="147" t="n"/>
      <c r="D115" s="42" t="inlineStr">
        <is>
          <t>바베큐_고기추가</t>
        </is>
      </c>
      <c r="E115" s="8" t="n"/>
      <c r="F115" s="8" t="n"/>
      <c r="G115" s="8" t="n"/>
      <c r="H115" s="8">
        <f>F115*10000</f>
        <v/>
      </c>
      <c r="I115" s="3" t="n"/>
      <c r="J115" s="3" t="n"/>
      <c r="K115" s="3" t="n"/>
      <c r="L115" s="3" t="n"/>
      <c r="M115" s="3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</row>
    <row r="116" ht="14.25" customHeight="1">
      <c r="A116" s="30" t="n"/>
      <c r="B116" s="147" t="n"/>
      <c r="C116" s="147" t="n"/>
      <c r="D116" s="24" t="inlineStr">
        <is>
          <t>누에3종</t>
        </is>
      </c>
      <c r="E116" s="18" t="n"/>
      <c r="F116" s="19" t="n"/>
      <c r="G116" s="18" t="n"/>
      <c r="H116" s="8">
        <f>F116*12000</f>
        <v/>
      </c>
      <c r="I116" s="3" t="n"/>
      <c r="J116" s="3" t="n"/>
      <c r="K116" s="3" t="n"/>
      <c r="L116" s="3" t="n"/>
      <c r="M116" s="3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</row>
    <row r="117" ht="14.25" customHeight="1">
      <c r="A117" s="1" t="n"/>
      <c r="B117" s="147" t="n"/>
      <c r="C117" s="147" t="n"/>
      <c r="D117" s="24" t="inlineStr">
        <is>
          <t>오디3종</t>
        </is>
      </c>
      <c r="E117" s="18" t="n"/>
      <c r="F117" s="19" t="n"/>
      <c r="G117" s="18" t="n"/>
      <c r="H117" s="8">
        <f>F117*12000</f>
        <v/>
      </c>
      <c r="I117" s="3" t="n"/>
      <c r="J117" s="3" t="n"/>
      <c r="K117" s="3" t="n"/>
      <c r="L117" s="3" t="n"/>
      <c r="M117" s="3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</row>
    <row r="118" hidden="1" ht="16.5" customHeight="1">
      <c r="A118" s="1" t="n"/>
      <c r="B118" s="147" t="n"/>
      <c r="C118" s="147" t="n"/>
      <c r="D118" s="47" t="inlineStr">
        <is>
          <t>3종체험권</t>
        </is>
      </c>
      <c r="E118" s="18" t="n"/>
      <c r="F118" s="19" t="n"/>
      <c r="G118" s="18" t="n"/>
      <c r="H118" s="8">
        <f>F118*12000</f>
        <v/>
      </c>
      <c r="I118" s="3" t="n"/>
      <c r="J118" s="3" t="n"/>
      <c r="K118" s="3" t="n"/>
      <c r="L118" s="3" t="n"/>
      <c r="M118" s="3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</row>
    <row r="119" hidden="1" ht="16.5" customHeight="1">
      <c r="A119" s="1" t="n"/>
      <c r="B119" s="147" t="n"/>
      <c r="C119" s="147" t="n"/>
      <c r="D119" s="25" t="inlineStr">
        <is>
          <t>파츠</t>
        </is>
      </c>
      <c r="E119" s="18" t="n"/>
      <c r="F119" s="19" t="n"/>
      <c r="G119" s="18" t="n"/>
      <c r="H119" s="8">
        <f>F119*1000</f>
        <v/>
      </c>
      <c r="I119" s="3" t="n"/>
      <c r="J119" s="3" t="n"/>
      <c r="K119" s="3" t="n"/>
      <c r="L119" s="3" t="n"/>
      <c r="M119" s="3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</row>
    <row r="120" hidden="1" ht="16.5" customHeight="1">
      <c r="A120" s="1" t="n"/>
      <c r="B120" s="147" t="n"/>
      <c r="C120" s="147" t="n"/>
      <c r="D120" s="47" t="inlineStr">
        <is>
          <t>실뽑기</t>
        </is>
      </c>
      <c r="E120" s="18" t="n"/>
      <c r="F120" s="19" t="n"/>
      <c r="G120" s="18" t="n"/>
      <c r="H120" s="8">
        <f>F120*6000</f>
        <v/>
      </c>
      <c r="I120" s="3" t="n"/>
      <c r="J120" s="3" t="n"/>
      <c r="K120" s="3" t="n"/>
      <c r="L120" s="3" t="n"/>
      <c r="M120" s="3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</row>
    <row r="121" hidden="1" ht="16.5" customHeight="1">
      <c r="A121" s="1" t="n"/>
      <c r="B121" s="147" t="n"/>
      <c r="C121" s="147" t="n"/>
      <c r="D121" s="25" t="inlineStr">
        <is>
          <t>추가입장료</t>
        </is>
      </c>
      <c r="E121" s="18" t="n"/>
      <c r="F121" s="19" t="n"/>
      <c r="G121" s="18" t="n"/>
      <c r="H121" s="8">
        <f>F121*1000</f>
        <v/>
      </c>
      <c r="I121" s="3" t="n"/>
      <c r="J121" s="3" t="n"/>
      <c r="K121" s="3" t="n"/>
      <c r="L121" s="3" t="n"/>
      <c r="M121" s="3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</row>
    <row r="122" hidden="1" ht="16.5" customHeight="1">
      <c r="A122" s="1" t="n"/>
      <c r="B122" s="147" t="n"/>
      <c r="C122" s="147" t="n"/>
      <c r="D122" s="25" t="inlineStr">
        <is>
          <t>추가입장료2</t>
        </is>
      </c>
      <c r="E122" s="18" t="n"/>
      <c r="F122" s="19" t="n"/>
      <c r="G122" s="18" t="n"/>
      <c r="H122" s="8">
        <f>F122*500</f>
        <v/>
      </c>
      <c r="I122" s="3" t="n"/>
      <c r="J122" s="3" t="n"/>
      <c r="K122" s="3" t="n"/>
      <c r="L122" s="3" t="n"/>
      <c r="M122" s="3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</row>
    <row r="123" hidden="1" ht="17.25" customHeight="1">
      <c r="A123" s="1" t="n"/>
      <c r="B123" s="147" t="n"/>
      <c r="C123" s="147" t="n"/>
      <c r="D123" s="48" t="inlineStr">
        <is>
          <t>누에고치목걸이</t>
        </is>
      </c>
      <c r="E123" s="18" t="n"/>
      <c r="F123" s="19" t="n"/>
      <c r="G123" s="18" t="n"/>
      <c r="H123" s="8">
        <f>F123*6000</f>
        <v/>
      </c>
      <c r="I123" s="3" t="n"/>
      <c r="J123" s="3" t="n"/>
      <c r="K123" s="3" t="n"/>
      <c r="L123" s="3" t="n"/>
      <c r="M123" s="3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</row>
    <row r="124" hidden="1" ht="16.5" customHeight="1">
      <c r="A124" s="1" t="n"/>
      <c r="B124" s="147" t="n"/>
      <c r="C124" s="147" t="n"/>
      <c r="D124" s="43" t="inlineStr">
        <is>
          <t>오디청만들기체험</t>
        </is>
      </c>
      <c r="E124" s="18" t="n"/>
      <c r="F124" s="19" t="n"/>
      <c r="G124" s="18" t="n"/>
      <c r="H124" s="8">
        <f>F124*7000</f>
        <v/>
      </c>
      <c r="I124" s="3" t="n"/>
      <c r="J124" s="3" t="n"/>
      <c r="K124" s="3" t="n"/>
      <c r="L124" s="3" t="n"/>
      <c r="M124" s="3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</row>
    <row r="125" hidden="1" ht="16.5" customHeight="1">
      <c r="A125" s="1" t="n"/>
      <c r="B125" s="147" t="n"/>
      <c r="C125" s="147" t="n"/>
      <c r="D125" s="25" t="inlineStr">
        <is>
          <t>비누만들기체험</t>
        </is>
      </c>
      <c r="E125" s="18" t="n"/>
      <c r="F125" s="19" t="n"/>
      <c r="G125" s="18" t="n"/>
      <c r="H125" s="8">
        <f>F125*7000</f>
        <v/>
      </c>
      <c r="I125" s="3" t="n"/>
      <c r="J125" s="3" t="n"/>
      <c r="K125" s="3" t="n"/>
      <c r="L125" s="3" t="n"/>
      <c r="M125" s="3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</row>
    <row r="126" hidden="1" ht="16.5" customHeight="1">
      <c r="A126" s="1" t="n"/>
      <c r="B126" s="147" t="n"/>
      <c r="C126" s="147" t="n"/>
      <c r="D126" s="49" t="inlineStr">
        <is>
          <t>추가요금</t>
        </is>
      </c>
      <c r="E126" s="19" t="n"/>
      <c r="F126" s="19" t="n"/>
      <c r="G126" s="19" t="n"/>
      <c r="H126" s="8">
        <f>F126*3000</f>
        <v/>
      </c>
      <c r="I126" s="3" t="n"/>
      <c r="J126" s="3" t="n"/>
      <c r="K126" s="3" t="n"/>
      <c r="L126" s="3" t="n"/>
      <c r="M126" s="3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</row>
    <row r="127" hidden="1" ht="16.5" customHeight="1">
      <c r="A127" s="1" t="n"/>
      <c r="B127" s="147" t="n"/>
      <c r="C127" s="147" t="n"/>
      <c r="D127" s="26" t="inlineStr">
        <is>
          <t>기타</t>
        </is>
      </c>
      <c r="E127" s="8" t="n"/>
      <c r="F127" s="8" t="n"/>
      <c r="G127" s="8" t="n"/>
      <c r="H127" s="8">
        <f>F127*2000</f>
        <v/>
      </c>
      <c r="I127" s="3" t="n"/>
      <c r="J127" s="3" t="n"/>
      <c r="K127" s="3" t="n"/>
      <c r="L127" s="3" t="n"/>
      <c r="M127" s="3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</row>
    <row r="128" ht="16.5" customHeight="1">
      <c r="A128" s="1" t="n"/>
      <c r="B128" s="147" t="n"/>
      <c r="C128" s="147" t="n"/>
      <c r="D128" s="26" t="inlineStr">
        <is>
          <t>기타2</t>
        </is>
      </c>
      <c r="E128" s="8" t="n"/>
      <c r="F128" s="8" t="n"/>
      <c r="G128" s="8" t="n"/>
      <c r="H128" s="8">
        <f>F128*5000</f>
        <v/>
      </c>
      <c r="I128" s="3" t="n"/>
      <c r="J128" s="3" t="n"/>
      <c r="K128" s="3" t="n"/>
      <c r="L128" s="3" t="n"/>
      <c r="M128" s="3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</row>
    <row r="129" hidden="1" ht="16.5" customHeight="1">
      <c r="A129" s="1" t="n"/>
      <c r="B129" s="147" t="n"/>
      <c r="C129" s="147" t="n"/>
      <c r="D129" s="44" t="inlineStr">
        <is>
          <t>기타3</t>
        </is>
      </c>
      <c r="E129" s="8" t="n"/>
      <c r="F129" s="8" t="n"/>
      <c r="G129" s="8" t="n"/>
      <c r="H129" s="8">
        <f>F129*100</f>
        <v/>
      </c>
      <c r="I129" s="3" t="n"/>
      <c r="J129" s="3" t="n"/>
      <c r="K129" s="3" t="n"/>
      <c r="L129" s="3" t="n"/>
      <c r="M129" s="3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</row>
    <row r="130" hidden="1" ht="16.5" customHeight="1">
      <c r="A130" s="1" t="n"/>
      <c r="B130" s="147" t="n"/>
      <c r="C130" s="147" t="n"/>
      <c r="D130" s="26" t="inlineStr">
        <is>
          <t>누에한살이</t>
        </is>
      </c>
      <c r="E130" s="8" t="n"/>
      <c r="F130" s="8" t="n"/>
      <c r="G130" s="8" t="n"/>
      <c r="H130" s="8">
        <f>F130*3000</f>
        <v/>
      </c>
      <c r="I130" s="3" t="n"/>
      <c r="J130" s="3" t="n"/>
      <c r="K130" s="3" t="n"/>
      <c r="L130" s="3" t="n"/>
      <c r="M130" s="3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</row>
    <row r="131" hidden="1" ht="16.5" customHeight="1">
      <c r="A131" s="1" t="n"/>
      <c r="B131" s="147" t="n"/>
      <c r="C131" s="147" t="n"/>
      <c r="D131" s="50" t="inlineStr">
        <is>
          <t>달고나</t>
        </is>
      </c>
      <c r="E131" s="8" t="n"/>
      <c r="F131" s="8" t="n"/>
      <c r="G131" s="8" t="n"/>
      <c r="H131" s="8">
        <f>F131*5000</f>
        <v/>
      </c>
      <c r="I131" s="3" t="n"/>
      <c r="J131" s="3" t="n"/>
      <c r="K131" s="3" t="n"/>
      <c r="L131" s="3" t="n"/>
      <c r="M131" s="3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</row>
    <row r="132" hidden="1" ht="16.5" customHeight="1">
      <c r="A132" s="1" t="n"/>
      <c r="B132" s="147" t="n"/>
      <c r="C132" s="147" t="n"/>
      <c r="D132" s="26" t="inlineStr">
        <is>
          <t>불멍체험(1인)</t>
        </is>
      </c>
      <c r="E132" s="8" t="n"/>
      <c r="F132" s="8" t="n"/>
      <c r="G132" s="8" t="n"/>
      <c r="H132" s="8">
        <f>F132*4900</f>
        <v/>
      </c>
      <c r="I132" s="3" t="n"/>
      <c r="J132" s="3" t="n"/>
      <c r="K132" s="3" t="n"/>
      <c r="L132" s="3" t="n"/>
      <c r="M132" s="3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</row>
    <row r="133" hidden="1" ht="16.5" customHeight="1">
      <c r="A133" s="1" t="n"/>
      <c r="B133" s="147" t="n"/>
      <c r="C133" s="147" t="n"/>
      <c r="D133" s="26" t="inlineStr">
        <is>
          <t>불멍간식</t>
        </is>
      </c>
      <c r="E133" s="8" t="n"/>
      <c r="F133" s="8" t="n"/>
      <c r="G133" s="8" t="n"/>
      <c r="H133" s="8">
        <f>F133*2000</f>
        <v/>
      </c>
      <c r="I133" s="3" t="n"/>
      <c r="J133" s="3" t="n"/>
      <c r="K133" s="3" t="n"/>
      <c r="L133" s="3" t="n"/>
      <c r="M133" s="3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</row>
    <row r="134" hidden="1" ht="16.5" customHeight="1">
      <c r="A134" s="1" t="n"/>
      <c r="B134" s="147" t="n"/>
      <c r="C134" s="147" t="n"/>
      <c r="D134" s="26" t="inlineStr">
        <is>
          <t>불멍간식세트</t>
        </is>
      </c>
      <c r="E134" s="8" t="n"/>
      <c r="F134" s="8" t="n"/>
      <c r="G134" s="8" t="n"/>
      <c r="H134" s="8">
        <f>F134*12000</f>
        <v/>
      </c>
      <c r="I134" s="3" t="n"/>
      <c r="J134" s="3" t="n"/>
      <c r="K134" s="3" t="n"/>
      <c r="L134" s="3" t="n"/>
      <c r="M134" s="3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</row>
    <row r="135" hidden="1" ht="16.5" customHeight="1">
      <c r="A135" s="1" t="n"/>
      <c r="B135" s="147" t="n"/>
      <c r="C135" s="147" t="n"/>
      <c r="D135" s="26" t="inlineStr">
        <is>
          <t>장작</t>
        </is>
      </c>
      <c r="E135" s="8" t="n"/>
      <c r="F135" s="8" t="n"/>
      <c r="G135" s="8" t="n"/>
      <c r="H135" s="8">
        <f>F135*9900</f>
        <v/>
      </c>
      <c r="I135" s="3" t="n"/>
      <c r="J135" s="3" t="n"/>
      <c r="K135" s="3" t="n"/>
      <c r="L135" s="3" t="n"/>
      <c r="M135" s="3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</row>
    <row r="136" hidden="1" ht="16.5" customHeight="1">
      <c r="A136" s="1" t="n"/>
      <c r="B136" s="147" t="n"/>
      <c r="C136" s="147" t="n"/>
      <c r="D136" s="50" t="inlineStr">
        <is>
          <t>대형캔들체험</t>
        </is>
      </c>
      <c r="E136" s="8" t="n"/>
      <c r="F136" s="8" t="n"/>
      <c r="G136" s="8" t="n"/>
      <c r="H136" s="8">
        <f>F136*18000</f>
        <v/>
      </c>
      <c r="I136" s="3" t="n"/>
      <c r="J136" s="3" t="n"/>
      <c r="K136" s="3" t="n"/>
      <c r="L136" s="3" t="n"/>
      <c r="M136" s="3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</row>
    <row r="137" ht="16.5" customHeight="1">
      <c r="A137" s="30" t="n"/>
      <c r="B137" s="147" t="n"/>
      <c r="C137" s="148" t="n"/>
      <c r="D137" s="26" t="inlineStr">
        <is>
          <t>캔들체험</t>
        </is>
      </c>
      <c r="E137" s="8" t="n"/>
      <c r="F137" s="8" t="n"/>
      <c r="G137" s="8" t="n"/>
      <c r="H137" s="8">
        <f>F137*12000</f>
        <v/>
      </c>
      <c r="I137" s="3" t="n"/>
      <c r="J137" s="3" t="n"/>
      <c r="K137" s="3" t="n"/>
      <c r="L137" s="3" t="n"/>
      <c r="M137" s="3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</row>
    <row r="138" hidden="1" ht="14.25" customHeight="1">
      <c r="A138" s="1" t="n"/>
      <c r="B138" s="147" t="n"/>
      <c r="C138" s="117" t="inlineStr">
        <is>
          <t>네이버</t>
        </is>
      </c>
      <c r="D138" s="22" t="inlineStr">
        <is>
          <t>네이버 오디3종</t>
        </is>
      </c>
      <c r="E138" s="8" t="n"/>
      <c r="F138" s="8" t="n"/>
      <c r="G138" s="8" t="n"/>
      <c r="H138" s="8">
        <f>12000*F138</f>
        <v/>
      </c>
      <c r="I138" s="3" t="n"/>
      <c r="J138" s="3" t="n"/>
      <c r="K138" s="3" t="n"/>
      <c r="L138" s="3" t="n"/>
      <c r="M138" s="3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</row>
    <row r="139" hidden="1" ht="14.25" customHeight="1">
      <c r="A139" s="1" t="n"/>
      <c r="B139" s="147" t="n"/>
      <c r="C139" s="147" t="n"/>
      <c r="D139" s="51" t="inlineStr">
        <is>
          <t>네이버 누에3종</t>
        </is>
      </c>
      <c r="E139" s="8" t="n"/>
      <c r="F139" s="8" t="n"/>
      <c r="G139" s="8" t="n"/>
      <c r="H139" s="8">
        <f>12000*F139</f>
        <v/>
      </c>
      <c r="I139" s="3" t="n"/>
      <c r="J139" s="3" t="n"/>
      <c r="K139" s="3" t="n"/>
      <c r="L139" s="3" t="n"/>
      <c r="M139" s="3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</row>
    <row r="140" hidden="1" ht="14.25" customHeight="1">
      <c r="A140" s="1" t="n"/>
      <c r="B140" s="147" t="n"/>
      <c r="C140" s="147" t="n"/>
      <c r="D140" s="22" t="inlineStr">
        <is>
          <t>네이버 달고나</t>
        </is>
      </c>
      <c r="E140" s="8" t="n"/>
      <c r="F140" s="8" t="n"/>
      <c r="G140" s="8" t="n"/>
      <c r="H140" s="8">
        <f>5000*F140</f>
        <v/>
      </c>
      <c r="I140" s="3" t="n"/>
      <c r="J140" s="3" t="n"/>
      <c r="K140" s="3" t="n"/>
      <c r="L140" s="3" t="n"/>
      <c r="M140" s="3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</row>
    <row r="141" hidden="1" ht="16.5" customHeight="1">
      <c r="A141" s="1" t="n"/>
      <c r="B141" s="147" t="n"/>
      <c r="C141" s="147" t="n"/>
      <c r="D141" s="26" t="inlineStr">
        <is>
          <t>네이버 불멍패키지</t>
        </is>
      </c>
      <c r="E141" s="8" t="n"/>
      <c r="F141" s="8" t="n"/>
      <c r="G141" s="8" t="n"/>
      <c r="H141" s="8">
        <f>3900*F141</f>
        <v/>
      </c>
      <c r="I141" s="3" t="n"/>
      <c r="J141" s="3" t="n"/>
      <c r="K141" s="3" t="n"/>
      <c r="L141" s="3" t="n"/>
      <c r="M141" s="3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</row>
    <row r="142" hidden="1" ht="16.5" customHeight="1">
      <c r="A142" s="1" t="n"/>
      <c r="B142" s="147" t="n"/>
      <c r="C142" s="147" t="n"/>
      <c r="D142" s="50" t="inlineStr">
        <is>
          <t>네이버 만두체험</t>
        </is>
      </c>
      <c r="E142" s="8" t="n"/>
      <c r="F142" s="8" t="n"/>
      <c r="G142" s="8" t="n"/>
      <c r="H142" s="8">
        <f>10000*F142</f>
        <v/>
      </c>
      <c r="I142" s="3" t="n"/>
      <c r="J142" s="3" t="n"/>
      <c r="K142" s="3" t="n"/>
      <c r="L142" s="3" t="n"/>
      <c r="M142" s="3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</row>
    <row r="143" ht="14.25" customHeight="1">
      <c r="A143" s="1" t="n"/>
      <c r="B143" s="147" t="n"/>
      <c r="C143" s="147" t="n"/>
      <c r="D143" s="22" t="inlineStr">
        <is>
          <t>네이버 먹이3종</t>
        </is>
      </c>
      <c r="E143" s="8" t="n"/>
      <c r="F143" s="8" t="n"/>
      <c r="G143" s="8" t="n"/>
      <c r="H143" s="8">
        <f>F143*5000</f>
        <v/>
      </c>
      <c r="I143" s="3" t="n"/>
      <c r="J143" s="3" t="n"/>
      <c r="K143" s="3" t="n"/>
      <c r="L143" s="3" t="n"/>
      <c r="M143" s="3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</row>
    <row r="144" hidden="1" ht="14.25" customHeight="1">
      <c r="A144" s="1" t="n"/>
      <c r="B144" s="147" t="n"/>
      <c r="C144" s="147" t="n"/>
      <c r="D144" s="51" t="inlineStr">
        <is>
          <t>네이버 바베큐</t>
        </is>
      </c>
      <c r="E144" s="8" t="n"/>
      <c r="F144" s="8" t="n"/>
      <c r="G144" s="8" t="n"/>
      <c r="H144" s="8">
        <f>39900*F144</f>
        <v/>
      </c>
      <c r="I144" s="3" t="n"/>
      <c r="J144" s="3" t="n"/>
      <c r="K144" s="3" t="n"/>
      <c r="L144" s="3" t="n"/>
      <c r="M144" s="3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</row>
    <row r="145" hidden="1" ht="14.25" customHeight="1">
      <c r="A145" s="1" t="n"/>
      <c r="B145" s="147" t="n"/>
      <c r="C145" s="147" t="n"/>
      <c r="D145" s="22" t="inlineStr">
        <is>
          <t>네이버 빼빼로</t>
        </is>
      </c>
      <c r="E145" s="8" t="n"/>
      <c r="F145" s="8" t="n"/>
      <c r="G145" s="8" t="n"/>
      <c r="H145" s="8">
        <f>5000*F145</f>
        <v/>
      </c>
      <c r="I145" s="3" t="n"/>
      <c r="J145" s="3" t="n"/>
      <c r="K145" s="3" t="n"/>
      <c r="L145" s="3" t="n"/>
      <c r="M145" s="3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</row>
    <row r="146" hidden="1" ht="16.5" customHeight="1">
      <c r="A146" s="1" t="n"/>
      <c r="B146" s="147" t="n"/>
      <c r="C146" s="147" t="n"/>
      <c r="D146" s="27" t="inlineStr">
        <is>
          <t>네이버 오두막(3만원)</t>
        </is>
      </c>
      <c r="E146" s="8" t="n"/>
      <c r="F146" s="8" t="n"/>
      <c r="G146" s="8" t="n"/>
      <c r="H146" s="8">
        <f>30000*F146</f>
        <v/>
      </c>
      <c r="I146" s="3" t="n"/>
      <c r="J146" s="3" t="n"/>
      <c r="K146" s="3" t="n"/>
      <c r="L146" s="3" t="n"/>
      <c r="M146" s="3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</row>
    <row r="147" hidden="1" ht="16.5" customHeight="1">
      <c r="A147" s="1" t="n"/>
      <c r="B147" s="147" t="n"/>
      <c r="C147" s="147" t="n"/>
      <c r="D147" s="27" t="inlineStr">
        <is>
          <t>네이버 오두막(6만원)</t>
        </is>
      </c>
      <c r="E147" s="8" t="n"/>
      <c r="F147" s="8" t="n"/>
      <c r="G147" s="8" t="n"/>
      <c r="H147" s="8">
        <f>60000*F147</f>
        <v/>
      </c>
      <c r="I147" s="3" t="n"/>
      <c r="J147" s="3" t="n"/>
      <c r="K147" s="3" t="n"/>
      <c r="L147" s="3" t="n"/>
      <c r="M147" s="3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</row>
    <row r="148" hidden="1" ht="14.25" customHeight="1">
      <c r="A148" s="1" t="n"/>
      <c r="B148" s="147" t="n"/>
      <c r="C148" s="147" t="n"/>
      <c r="D148" s="27" t="inlineStr">
        <is>
          <t>네이버 누에한살이</t>
        </is>
      </c>
      <c r="E148" s="8" t="n"/>
      <c r="F148" s="8" t="n"/>
      <c r="G148" s="8" t="n"/>
      <c r="H148" s="8">
        <f>6900*F148</f>
        <v/>
      </c>
      <c r="I148" s="3" t="n"/>
      <c r="J148" s="3" t="n"/>
      <c r="K148" s="3" t="n"/>
      <c r="L148" s="3" t="n"/>
      <c r="M148" s="3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</row>
    <row r="149" hidden="1" ht="14.25" customHeight="1">
      <c r="A149" s="1" t="n"/>
      <c r="B149" s="147" t="n"/>
      <c r="C149" s="148" t="n"/>
      <c r="D149" s="22" t="inlineStr">
        <is>
          <t>네이버 캔들</t>
        </is>
      </c>
      <c r="E149" s="8" t="n"/>
      <c r="F149" s="8" t="n"/>
      <c r="G149" s="8" t="n"/>
      <c r="H149" s="8">
        <f>29900*F149</f>
        <v/>
      </c>
      <c r="I149" s="3" t="n"/>
      <c r="J149" s="3" t="n"/>
      <c r="K149" s="3" t="n"/>
      <c r="L149" s="3" t="n"/>
      <c r="M149" s="3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</row>
    <row r="150" hidden="1" ht="14.25" customHeight="1">
      <c r="A150" s="1" t="n"/>
      <c r="B150" s="147" t="n"/>
      <c r="C150" s="117" t="inlineStr">
        <is>
          <t>라이프도시</t>
        </is>
      </c>
      <c r="D150" s="42" t="inlineStr">
        <is>
          <t>라이프 오디3종</t>
        </is>
      </c>
      <c r="E150" s="8" t="n"/>
      <c r="F150" s="8" t="n"/>
      <c r="G150" s="8" t="n"/>
      <c r="H150" s="8">
        <f>12000*F150</f>
        <v/>
      </c>
      <c r="I150" s="3" t="n"/>
      <c r="J150" s="3" t="n"/>
      <c r="K150" s="3" t="n"/>
      <c r="L150" s="3" t="n"/>
      <c r="M150" s="3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</row>
    <row r="151" hidden="1" ht="16.5" customHeight="1">
      <c r="A151" s="1" t="n"/>
      <c r="B151" s="147" t="n"/>
      <c r="C151" s="147" t="n"/>
      <c r="D151" s="27" t="inlineStr">
        <is>
          <t>라이프 만들기3종</t>
        </is>
      </c>
      <c r="E151" s="8" t="n"/>
      <c r="F151" s="8" t="n"/>
      <c r="G151" s="8" t="n"/>
      <c r="H151" s="8">
        <f>9900*F151</f>
        <v/>
      </c>
      <c r="I151" s="3" t="n"/>
      <c r="J151" s="3" t="n"/>
      <c r="K151" s="3" t="n"/>
      <c r="L151" s="3" t="n"/>
      <c r="M151" s="3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</row>
    <row r="152" hidden="1" ht="14.25" customHeight="1">
      <c r="A152" s="1" t="n"/>
      <c r="B152" s="147" t="n"/>
      <c r="C152" s="147" t="n"/>
      <c r="D152" s="52" t="inlineStr">
        <is>
          <t>라이프 누에3종</t>
        </is>
      </c>
      <c r="E152" s="8" t="n"/>
      <c r="F152" s="8" t="n"/>
      <c r="G152" s="8" t="n"/>
      <c r="H152" s="8">
        <f>12000*F152</f>
        <v/>
      </c>
      <c r="I152" s="3" t="n"/>
      <c r="J152" s="3" t="n"/>
      <c r="K152" s="3" t="n"/>
      <c r="L152" s="3" t="n"/>
      <c r="M152" s="3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</row>
    <row r="153" ht="16.5" customHeight="1">
      <c r="A153" s="1" t="n"/>
      <c r="B153" s="147" t="n"/>
      <c r="C153" s="147" t="n"/>
      <c r="D153" s="27" t="inlineStr">
        <is>
          <t>라이프 먹이3종</t>
        </is>
      </c>
      <c r="E153" s="8" t="n"/>
      <c r="F153" s="8" t="n"/>
      <c r="G153" s="8" t="n"/>
      <c r="H153" s="8">
        <f>5000*F153</f>
        <v/>
      </c>
      <c r="I153" s="3" t="n"/>
      <c r="J153" s="3" t="n"/>
      <c r="K153" s="3" t="n"/>
      <c r="L153" s="3" t="n"/>
      <c r="M153" s="3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</row>
    <row r="154" hidden="1" ht="16.5" customHeight="1">
      <c r="A154" s="1" t="n"/>
      <c r="B154" s="147" t="n"/>
      <c r="C154" s="147" t="n"/>
      <c r="D154" s="27" t="inlineStr">
        <is>
          <t>라이프 오두막 캠핑(3시간)</t>
        </is>
      </c>
      <c r="E154" s="8" t="n"/>
      <c r="F154" s="8" t="n"/>
      <c r="G154" s="8" t="n"/>
      <c r="H154" s="8">
        <f>39900*F154</f>
        <v/>
      </c>
      <c r="I154" s="3" t="n"/>
      <c r="J154" s="3" t="n"/>
      <c r="K154" s="3" t="n"/>
      <c r="L154" s="3" t="n"/>
      <c r="M154" s="3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</row>
    <row r="155" hidden="1" ht="14.25" customHeight="1">
      <c r="A155" s="1" t="n"/>
      <c r="B155" s="147" t="n"/>
      <c r="C155" s="147" t="n"/>
      <c r="D155" s="52" t="inlineStr">
        <is>
          <t>라이프 바베큐</t>
        </is>
      </c>
      <c r="E155" s="8" t="n"/>
      <c r="F155" s="8" t="n"/>
      <c r="G155" s="8" t="n"/>
      <c r="H155" s="8">
        <f>49900*F155</f>
        <v/>
      </c>
      <c r="I155" s="3" t="n"/>
      <c r="J155" s="3" t="n"/>
      <c r="K155" s="3" t="n"/>
      <c r="L155" s="3" t="n"/>
      <c r="M155" s="3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</row>
    <row r="156" ht="14.25" customHeight="1">
      <c r="A156" s="1" t="n"/>
      <c r="B156" s="147" t="n"/>
      <c r="C156" s="147" t="n"/>
      <c r="D156" s="22" t="inlineStr">
        <is>
          <t>라이프 간식굽기</t>
        </is>
      </c>
      <c r="E156" s="8" t="n"/>
      <c r="F156" s="8" t="n"/>
      <c r="G156" s="8" t="n"/>
      <c r="H156" s="8">
        <f>15000*F156</f>
        <v/>
      </c>
      <c r="I156" s="3" t="n"/>
      <c r="J156" s="3" t="n"/>
      <c r="K156" s="3" t="n"/>
      <c r="L156" s="3" t="n"/>
      <c r="M156" s="3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</row>
    <row r="157" hidden="1" ht="14.25" customHeight="1">
      <c r="A157" s="1" t="n"/>
      <c r="B157" s="147" t="n"/>
      <c r="C157" s="147" t="n"/>
      <c r="D157" s="52" t="inlineStr">
        <is>
          <t>라이프 불멍체험</t>
        </is>
      </c>
      <c r="E157" s="8" t="n"/>
      <c r="F157" s="8" t="n"/>
      <c r="G157" s="8" t="n"/>
      <c r="H157" s="8">
        <f>3900*F157</f>
        <v/>
      </c>
      <c r="I157" s="3" t="n"/>
      <c r="J157" s="3" t="n"/>
      <c r="K157" s="3" t="n"/>
      <c r="L157" s="3" t="n"/>
      <c r="M157" s="3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</row>
    <row r="158" hidden="1" ht="14.25" customHeight="1">
      <c r="A158" s="1" t="n"/>
      <c r="B158" s="147" t="n"/>
      <c r="C158" s="147" t="n"/>
      <c r="D158" s="27" t="inlineStr">
        <is>
          <t>라이프 캠프파이어</t>
        </is>
      </c>
      <c r="E158" s="8" t="n"/>
      <c r="F158" s="8" t="n"/>
      <c r="G158" s="8" t="n"/>
      <c r="H158" s="8">
        <f>F158*9900</f>
        <v/>
      </c>
      <c r="I158" s="3" t="n"/>
      <c r="J158" s="3" t="n"/>
      <c r="K158" s="3" t="n"/>
      <c r="L158" s="3" t="n"/>
      <c r="M158" s="3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</row>
    <row r="159" hidden="1" ht="14.25" customHeight="1">
      <c r="A159" s="1" t="n"/>
      <c r="B159" s="147" t="n"/>
      <c r="C159" s="148" t="n"/>
      <c r="D159" s="51" t="inlineStr">
        <is>
          <t>라이프 오디청</t>
        </is>
      </c>
      <c r="E159" s="8" t="n"/>
      <c r="F159" s="8" t="n"/>
      <c r="G159" s="8" t="n"/>
      <c r="H159" s="8">
        <f>6000*F159</f>
        <v/>
      </c>
      <c r="I159" s="3" t="n"/>
      <c r="J159" s="3" t="n"/>
      <c r="K159" s="3" t="n"/>
      <c r="L159" s="3" t="n"/>
      <c r="M159" s="3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</row>
    <row r="160" hidden="1" ht="16.5" customHeight="1">
      <c r="A160" s="1" t="n"/>
      <c r="B160" s="147" t="n"/>
      <c r="C160" s="126" t="inlineStr">
        <is>
          <t>기타</t>
        </is>
      </c>
      <c r="D160" s="44" t="inlineStr">
        <is>
          <t>냉동오디</t>
        </is>
      </c>
      <c r="E160" s="8" t="n"/>
      <c r="F160" s="8" t="n"/>
      <c r="G160" s="8" t="n"/>
      <c r="H160" s="8">
        <f>F160*12000</f>
        <v/>
      </c>
      <c r="I160" s="3" t="n"/>
      <c r="J160" s="3" t="n"/>
      <c r="K160" s="3" t="n"/>
      <c r="L160" s="3" t="n"/>
      <c r="M160" s="3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</row>
    <row r="161" hidden="1" ht="16.5" customHeight="1">
      <c r="A161" s="1" t="n"/>
      <c r="B161" s="147" t="n"/>
      <c r="C161" s="147" t="n"/>
      <c r="D161" s="26" t="inlineStr">
        <is>
          <t>주간평상대여</t>
        </is>
      </c>
      <c r="E161" s="8" t="n"/>
      <c r="F161" s="8" t="n"/>
      <c r="G161" s="8" t="n"/>
      <c r="H161" s="8">
        <f>F161*30000</f>
        <v/>
      </c>
      <c r="I161" s="3" t="n"/>
      <c r="J161" s="3" t="n"/>
      <c r="K161" s="3" t="n"/>
      <c r="L161" s="3" t="n"/>
      <c r="M161" s="3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</row>
    <row r="162" hidden="1" ht="16.5" customHeight="1">
      <c r="A162" s="1" t="n"/>
      <c r="B162" s="147" t="n"/>
      <c r="C162" s="147" t="n"/>
      <c r="D162" s="50" t="inlineStr">
        <is>
          <t>평상보증금</t>
        </is>
      </c>
      <c r="E162" s="8" t="n"/>
      <c r="F162" s="8" t="n"/>
      <c r="G162" s="8" t="n"/>
      <c r="H162" s="8">
        <f>F162*5000</f>
        <v/>
      </c>
      <c r="I162" s="3" t="n"/>
      <c r="J162" s="3" t="n"/>
      <c r="K162" s="3" t="n"/>
      <c r="L162" s="3" t="n"/>
      <c r="M162" s="3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</row>
    <row r="163" hidden="1" ht="16.5" customHeight="1">
      <c r="A163" s="1" t="n"/>
      <c r="B163" s="147" t="n"/>
      <c r="C163" s="147" t="n"/>
      <c r="D163" s="26" t="inlineStr">
        <is>
          <t>오두막(6만원)</t>
        </is>
      </c>
      <c r="E163" s="8" t="n"/>
      <c r="F163" s="8" t="n"/>
      <c r="G163" s="8" t="n"/>
      <c r="H163" s="8">
        <f>60000*F163</f>
        <v/>
      </c>
      <c r="I163" s="3" t="n"/>
      <c r="J163" s="3" t="n"/>
      <c r="K163" s="3" t="n"/>
      <c r="L163" s="3" t="n"/>
      <c r="M163" s="3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</row>
    <row r="164" hidden="1" ht="16.5" customHeight="1">
      <c r="A164" s="1" t="n"/>
      <c r="B164" s="147" t="n"/>
      <c r="C164" s="147" t="n"/>
      <c r="D164" s="26" t="inlineStr">
        <is>
          <t>오두막(3만원)</t>
        </is>
      </c>
      <c r="E164" s="8" t="n"/>
      <c r="F164" s="8" t="n"/>
      <c r="G164" s="8" t="n"/>
      <c r="H164" s="8">
        <f>30000*F164</f>
        <v/>
      </c>
      <c r="I164" s="3" t="n"/>
      <c r="J164" s="3" t="n"/>
      <c r="K164" s="3" t="n"/>
      <c r="L164" s="3" t="n"/>
      <c r="M164" s="3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</row>
    <row r="165" hidden="1" ht="16.5" customHeight="1">
      <c r="A165" s="1" t="n"/>
      <c r="B165" s="147" t="n"/>
      <c r="C165" s="147" t="n"/>
      <c r="D165" s="50" t="inlineStr">
        <is>
          <t>오디잼</t>
        </is>
      </c>
      <c r="E165" s="8" t="n"/>
      <c r="F165" s="8" t="n"/>
      <c r="G165" s="8" t="n"/>
      <c r="H165" s="8">
        <f>7500*F165</f>
        <v/>
      </c>
      <c r="I165" s="3" t="n"/>
      <c r="J165" s="3" t="n"/>
      <c r="K165" s="3" t="n"/>
      <c r="L165" s="3" t="n"/>
      <c r="M165" s="3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</row>
    <row r="166" hidden="1" ht="16.5" customHeight="1">
      <c r="A166" s="1" t="n"/>
      <c r="B166" s="147" t="n"/>
      <c r="C166" s="147" t="n"/>
      <c r="D166" s="26" t="inlineStr">
        <is>
          <t>푸딩잼</t>
        </is>
      </c>
      <c r="E166" s="8" t="n"/>
      <c r="F166" s="8" t="n"/>
      <c r="G166" s="8" t="n"/>
      <c r="H166" s="8">
        <f>10000*F166</f>
        <v/>
      </c>
      <c r="I166" s="3" t="n"/>
      <c r="J166" s="3" t="n"/>
      <c r="K166" s="3" t="n"/>
      <c r="L166" s="3" t="n"/>
      <c r="M166" s="3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</row>
    <row r="167" hidden="1" ht="16.5" customHeight="1">
      <c r="A167" s="1" t="n"/>
      <c r="B167" s="147" t="n"/>
      <c r="C167" s="147" t="n"/>
      <c r="D167" s="53" t="inlineStr">
        <is>
          <t>시럽</t>
        </is>
      </c>
      <c r="E167" s="8" t="n"/>
      <c r="F167" s="8" t="n"/>
      <c r="G167" s="8" t="n"/>
      <c r="H167" s="8">
        <f>13000*F167</f>
        <v/>
      </c>
      <c r="I167" s="3" t="n"/>
      <c r="J167" s="3" t="n"/>
      <c r="K167" s="3" t="n"/>
      <c r="L167" s="3" t="n"/>
      <c r="M167" s="3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</row>
    <row r="168" hidden="1" ht="16.5" customHeight="1">
      <c r="A168" s="1" t="n"/>
      <c r="B168" s="147" t="n"/>
      <c r="C168" s="147" t="n"/>
      <c r="D168" s="26" t="inlineStr">
        <is>
          <t>식초</t>
        </is>
      </c>
      <c r="E168" s="8" t="n"/>
      <c r="F168" s="8" t="n"/>
      <c r="G168" s="8" t="n"/>
      <c r="H168" s="8">
        <f>18000*F168</f>
        <v/>
      </c>
      <c r="I168" s="3" t="n"/>
      <c r="J168" s="3" t="n"/>
      <c r="K168" s="3" t="n"/>
      <c r="L168" s="3" t="n"/>
      <c r="M168" s="3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</row>
    <row r="169" hidden="1" ht="16.5" customHeight="1">
      <c r="A169" s="1" t="n"/>
      <c r="B169" s="148" t="n"/>
      <c r="C169" s="148" t="n"/>
      <c r="D169" s="26" t="inlineStr">
        <is>
          <t>오디분말</t>
        </is>
      </c>
      <c r="E169" s="8" t="n"/>
      <c r="F169" s="8" t="n"/>
      <c r="G169" s="9" t="n"/>
      <c r="H169" s="8">
        <f>20000*F169</f>
        <v/>
      </c>
      <c r="I169" s="3" t="n"/>
      <c r="J169" s="3" t="n"/>
      <c r="K169" s="3" t="n"/>
      <c r="L169" s="3" t="n"/>
      <c r="M169" s="3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</row>
    <row r="170">
      <c r="A170" s="1" t="n"/>
      <c r="B170" s="158" t="inlineStr">
        <is>
          <t>소 계</t>
        </is>
      </c>
      <c r="C170" s="143" t="n"/>
      <c r="D170" s="159" t="n"/>
      <c r="E170" s="14">
        <f>SUM(E27:E169)</f>
        <v/>
      </c>
      <c r="F170" s="14">
        <f>SUM(F27:F169)</f>
        <v/>
      </c>
      <c r="G170" s="14">
        <f>SUM(G27:G169)</f>
        <v/>
      </c>
      <c r="H170" s="68">
        <f>SUM(H111:H169)</f>
        <v/>
      </c>
      <c r="I170" s="3" t="n"/>
      <c r="J170" s="3" t="n"/>
      <c r="K170" s="3" t="n"/>
      <c r="L170" s="3" t="n"/>
      <c r="M170" s="3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</row>
    <row r="171" ht="18" customHeight="1">
      <c r="A171" s="1" t="n"/>
      <c r="B171" s="160" t="inlineStr">
        <is>
          <t>총 계</t>
        </is>
      </c>
      <c r="C171" s="161" t="n"/>
      <c r="D171" s="145" t="n"/>
      <c r="E171" s="15">
        <f>E170+E26</f>
        <v/>
      </c>
      <c r="F171" s="15">
        <f>F170+F26</f>
        <v/>
      </c>
      <c r="G171" s="15">
        <f>G170+G26</f>
        <v/>
      </c>
      <c r="H171" s="162">
        <f>H170+H110+H84+H46+H26</f>
        <v/>
      </c>
      <c r="I171" s="3" t="n"/>
      <c r="J171" s="3" t="n"/>
      <c r="K171" s="3" t="n"/>
      <c r="L171" s="3" t="n"/>
      <c r="M171" s="3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</row>
    <row r="172" hidden="1" ht="18" customHeight="1">
      <c r="A172" s="1" t="n"/>
      <c r="B172" s="163" t="inlineStr">
        <is>
          <t>실입장객</t>
        </is>
      </c>
      <c r="C172" s="161" t="n"/>
      <c r="D172" s="145" t="n"/>
      <c r="E172" s="163">
        <f>F23</f>
        <v/>
      </c>
      <c r="F172" s="145" t="n"/>
      <c r="G172" s="16" t="inlineStr">
        <is>
          <t>단체입장</t>
        </is>
      </c>
      <c r="H172" s="16">
        <f>F23</f>
        <v/>
      </c>
      <c r="I172" s="3" t="n"/>
      <c r="J172" s="3" t="n"/>
      <c r="K172" s="3" t="n"/>
      <c r="L172" s="3" t="n"/>
      <c r="M172" s="3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</row>
    <row r="173" hidden="1" ht="14.25" customHeight="1">
      <c r="A173" s="1" t="n"/>
      <c r="B173" s="164" t="inlineStr">
        <is>
          <t>특이사항</t>
        </is>
      </c>
      <c r="C173" s="161" t="n"/>
      <c r="D173" s="161" t="n"/>
      <c r="E173" s="161" t="n"/>
      <c r="F173" s="161" t="n"/>
      <c r="G173" s="161" t="n"/>
      <c r="H173" s="145" t="n"/>
      <c r="I173" s="3" t="n"/>
      <c r="J173" s="3" t="n"/>
      <c r="K173" s="3" t="n"/>
      <c r="L173" s="3" t="n"/>
      <c r="M173" s="3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</row>
    <row r="174" hidden="1" ht="14.25" customHeight="1">
      <c r="A174" s="3" t="n"/>
      <c r="B174" s="100" t="n"/>
      <c r="C174" s="150" t="n"/>
      <c r="D174" s="150" t="n"/>
      <c r="E174" s="150" t="n"/>
      <c r="F174" s="150" t="n"/>
      <c r="G174" s="150" t="n"/>
      <c r="H174" s="150" t="n"/>
      <c r="I174" s="3" t="n"/>
      <c r="J174" s="3" t="n"/>
      <c r="K174" s="3" t="n"/>
      <c r="L174" s="3" t="n"/>
      <c r="M174" s="3" t="n"/>
      <c r="N174" s="1" t="n"/>
      <c r="O174" s="1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</row>
    <row r="175" hidden="1" ht="14.25" customHeight="1">
      <c r="A175" s="3" t="n"/>
      <c r="I175" s="3" t="n"/>
      <c r="J175" s="3" t="n"/>
      <c r="K175" s="3" t="n"/>
      <c r="L175" s="3" t="n"/>
      <c r="M175" s="3" t="n"/>
      <c r="N175" s="1" t="n"/>
      <c r="O175" s="1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</row>
    <row r="176" hidden="1" ht="14.25" customHeight="1">
      <c r="A176" s="3" t="n"/>
      <c r="I176" s="3" t="n"/>
      <c r="J176" s="3" t="n"/>
      <c r="K176" s="3" t="n"/>
      <c r="L176" s="3" t="n"/>
      <c r="M176" s="3" t="n"/>
      <c r="N176" s="1" t="n"/>
      <c r="O176" s="1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</row>
    <row r="177" hidden="1" ht="14.25" customHeight="1">
      <c r="A177" s="3" t="n"/>
      <c r="I177" s="3" t="n"/>
      <c r="J177" s="3" t="n"/>
      <c r="K177" s="3" t="n"/>
      <c r="L177" s="3" t="n"/>
      <c r="M177" s="3" t="n"/>
      <c r="N177" s="1" t="n"/>
      <c r="O177" s="1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</row>
    <row r="178" hidden="1" ht="14.25" customHeight="1">
      <c r="A178" s="3" t="n"/>
      <c r="I178" s="3" t="n"/>
      <c r="J178" s="3" t="n"/>
      <c r="K178" s="3" t="n"/>
      <c r="L178" s="3" t="n"/>
      <c r="M178" s="3" t="n"/>
      <c r="N178" s="1" t="n"/>
      <c r="O178" s="1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</row>
    <row r="179" hidden="1" ht="14.25" customHeight="1">
      <c r="A179" s="3" t="n"/>
      <c r="I179" s="3" t="n"/>
      <c r="J179" s="3" t="n"/>
      <c r="K179" s="3" t="n"/>
      <c r="L179" s="3" t="n"/>
      <c r="M179" s="3" t="n"/>
      <c r="N179" s="1" t="n"/>
      <c r="O179" s="1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</row>
    <row r="180" hidden="1" ht="15.75" customHeight="1">
      <c r="B180" s="91" t="n"/>
    </row>
    <row r="181" hidden="1" ht="15.75" customHeight="1"/>
    <row r="182" hidden="1" ht="15.75" customHeight="1"/>
    <row r="183" hidden="1" ht="15.75" customHeight="1"/>
    <row r="184" hidden="1" ht="15.75" customHeight="1"/>
    <row r="185" hidden="1" ht="15.75" customHeight="1"/>
    <row r="186" hidden="1" ht="15.75" customHeight="1">
      <c r="B186" s="91" t="n"/>
    </row>
    <row r="187" hidden="1" ht="15.75" customHeight="1"/>
    <row r="188" hidden="1" ht="15.75" customHeight="1"/>
    <row r="189" hidden="1" ht="15.75" customHeight="1"/>
    <row r="190" hidden="1" ht="15.75" customHeight="1"/>
    <row r="191" hidden="1" ht="15.75" customHeight="1"/>
    <row r="192" hidden="1" ht="15.75" customHeight="1"/>
    <row r="193" hidden="1" ht="15.75" customHeight="1"/>
    <row r="194" hidden="1" ht="15.75" customHeight="1"/>
    <row r="195" hidden="1" ht="15.75" customHeight="1"/>
    <row r="196" hidden="1" ht="15.75" customHeight="1"/>
    <row r="197" hidden="1" ht="15.75" customHeight="1"/>
    <row r="198" hidden="1" ht="15.75" customHeight="1"/>
    <row r="199" hidden="1" ht="15.75" customHeight="1"/>
    <row r="200" hidden="1" ht="15.75" customHeight="1"/>
    <row r="201" hidden="1" ht="15.75" customHeight="1"/>
    <row r="202" hidden="1" ht="15.75" customHeight="1">
      <c r="B202" s="91" t="n"/>
    </row>
    <row r="203" hidden="1" ht="15.75" customHeight="1"/>
    <row r="204" hidden="1" ht="15.75" customHeight="1"/>
    <row r="205" hidden="1" ht="15.75" customHeight="1"/>
    <row r="206" hidden="1" ht="15.75" customHeight="1"/>
    <row r="207" hidden="1" ht="15.75" customHeight="1"/>
    <row r="208" hidden="1" ht="15.75" customHeight="1"/>
    <row r="209" hidden="1" ht="15.75" customHeight="1"/>
    <row r="210" hidden="1" ht="15.75" customHeight="1"/>
    <row r="211" hidden="1" ht="15.75" customHeight="1"/>
    <row r="212" hidden="1" ht="15.75" customHeight="1"/>
    <row r="213" hidden="1" ht="15.75" customHeight="1"/>
    <row r="214" hidden="1" ht="15.75" customHeight="1"/>
    <row r="215" hidden="1" ht="15.75" customHeight="1">
      <c r="B215" s="91" t="n"/>
    </row>
    <row r="216" hidden="1" ht="15.75" customHeight="1"/>
    <row r="217" hidden="1" ht="15.75" customHeight="1"/>
    <row r="218" hidden="1" ht="15.75" customHeight="1"/>
    <row r="219" hidden="1" ht="15.75" customHeight="1"/>
    <row r="220" hidden="1" ht="15.75" customHeight="1"/>
    <row r="221" hidden="1" ht="15.75" customHeight="1"/>
    <row r="222" hidden="1" ht="15.75" customHeight="1"/>
    <row r="223" hidden="1" ht="15.75" customHeight="1"/>
    <row r="224" hidden="1" ht="15.75" customHeight="1"/>
    <row r="225" hidden="1" ht="15.75" customHeight="1"/>
    <row r="226" hidden="1" ht="15.75" customHeight="1"/>
    <row r="227" hidden="1" ht="15.75" customHeight="1"/>
    <row r="228" hidden="1" ht="15.75" customHeight="1"/>
    <row r="229" hidden="1" ht="15.75" customHeight="1"/>
    <row r="230" hidden="1" ht="15.75" customHeight="1"/>
    <row r="231" hidden="1" ht="15.75" customHeight="1"/>
    <row r="232" hidden="1" ht="15.75" customHeight="1">
      <c r="B232" s="96" t="n"/>
    </row>
    <row r="233" hidden="1" ht="15.75" customHeight="1"/>
    <row r="234" hidden="1" ht="15.75" customHeight="1"/>
    <row r="235" hidden="1" ht="15.75" customHeight="1"/>
    <row r="236" hidden="1" ht="15.75" customHeight="1"/>
    <row r="237" hidden="1" ht="15.75" customHeight="1"/>
    <row r="238" hidden="1" ht="15.75" customHeight="1"/>
    <row r="239" hidden="1" ht="15.75" customHeight="1"/>
    <row r="240" hidden="1" ht="15.75" customHeight="1"/>
    <row r="241" hidden="1" ht="15.75" customHeight="1"/>
    <row r="242" hidden="1" ht="15.75" customHeight="1"/>
    <row r="243" hidden="1" ht="15.75" customHeight="1"/>
    <row r="244" hidden="1" ht="15.75" customHeight="1"/>
    <row r="245" hidden="1" ht="15.75" customHeight="1"/>
    <row r="246" hidden="1" ht="15.75" customHeight="1"/>
    <row r="247" hidden="1" ht="15.75" customHeight="1"/>
    <row r="248" hidden="1" ht="15.75" customHeight="1">
      <c r="B248" s="91" t="n"/>
    </row>
    <row r="249" hidden="1" ht="15.75" customHeight="1"/>
    <row r="250" hidden="1" ht="15.75" customHeight="1"/>
    <row r="251" hidden="1" ht="15.75" customHeight="1"/>
    <row r="252" hidden="1" ht="15.75" customHeight="1"/>
    <row r="253" hidden="1" ht="15.75" customHeight="1"/>
    <row r="254" hidden="1" ht="15.75" customHeight="1"/>
    <row r="255" hidden="1" ht="15.75" customHeight="1"/>
    <row r="256" hidden="1" ht="15.75" customHeight="1"/>
    <row r="257" hidden="1" ht="15.75" customHeight="1"/>
    <row r="258" hidden="1" ht="15.75" customHeight="1"/>
    <row r="259" hidden="1" ht="15.75" customHeight="1"/>
    <row r="260" hidden="1" ht="15.75" customHeight="1"/>
    <row r="261" hidden="1" ht="15.75" customHeight="1"/>
    <row r="262" hidden="1" ht="15.75" customHeight="1"/>
    <row r="263" hidden="1" ht="15.75" customHeight="1"/>
    <row r="264" hidden="1" ht="15.75" customHeight="1"/>
    <row r="265" hidden="1" ht="15.75" customHeight="1"/>
    <row r="266" hidden="1" ht="15.75" customHeight="1"/>
    <row r="267" hidden="1" ht="15.75" customHeight="1"/>
    <row r="268" hidden="1" ht="15.75" customHeight="1">
      <c r="B268" s="103" t="n"/>
    </row>
    <row r="269" hidden="1" ht="15.75" customHeight="1"/>
    <row r="270" hidden="1" ht="15.75" customHeight="1"/>
    <row r="271" hidden="1" ht="15.75" customHeight="1"/>
    <row r="272" hidden="1" ht="15.75" customHeight="1"/>
    <row r="273" hidden="1" ht="15.75" customHeight="1"/>
    <row r="274" hidden="1" ht="15.75" customHeight="1"/>
    <row r="275" hidden="1" ht="15.75" customHeight="1"/>
    <row r="276" hidden="1" ht="15.75" customHeight="1"/>
    <row r="277" hidden="1" ht="15.75" customHeight="1"/>
    <row r="278" hidden="1" ht="15.75" customHeight="1"/>
    <row r="279" hidden="1" ht="15.75" customHeight="1"/>
    <row r="280" hidden="1" ht="15.75" customHeight="1"/>
    <row r="281" hidden="1" ht="15.75" customHeight="1"/>
    <row r="282" hidden="1" ht="15.75" customHeight="1"/>
    <row r="283" hidden="1" ht="15.75" customHeight="1"/>
    <row r="284" hidden="1" ht="15.75" customHeight="1"/>
    <row r="285" hidden="1" ht="15.75" customHeight="1"/>
    <row r="286" hidden="1" ht="15.75" customHeight="1"/>
    <row r="287" hidden="1" ht="15.75" customHeight="1">
      <c r="B287" s="91" t="n"/>
    </row>
    <row r="288" hidden="1" ht="15.75" customHeight="1"/>
    <row r="289" hidden="1" ht="15.75" customHeight="1"/>
    <row r="290" hidden="1" ht="15.75" customHeight="1"/>
    <row r="291" hidden="1" ht="15.75" customHeight="1"/>
    <row r="292" hidden="1" ht="15.75" customHeight="1"/>
    <row r="293" hidden="1" ht="15.75" customHeight="1"/>
    <row r="294" hidden="1" ht="15.75" customHeight="1"/>
    <row r="295" hidden="1" ht="15.75" customHeight="1"/>
    <row r="296" hidden="1" ht="15.75" customHeight="1"/>
    <row r="297" hidden="1" ht="15.75" customHeight="1"/>
    <row r="298" hidden="1" ht="15.75" customHeight="1"/>
    <row r="299" hidden="1" ht="15.75" customHeight="1"/>
    <row r="300" hidden="1" ht="15.75" customHeight="1"/>
    <row r="301" hidden="1" ht="15.75" customHeight="1"/>
    <row r="302" hidden="1" ht="15.75" customHeight="1"/>
    <row r="303" hidden="1" ht="15.75" customHeight="1"/>
    <row r="304" hidden="1" ht="15.75" customHeight="1"/>
    <row r="305" hidden="1" ht="15.75" customHeight="1"/>
    <row r="306" hidden="1" ht="15.75" customHeight="1"/>
    <row r="307" hidden="1" ht="15.75" customHeight="1">
      <c r="B307" s="91" t="n"/>
    </row>
    <row r="308" hidden="1" ht="15.75" customHeight="1"/>
    <row r="309" hidden="1" ht="15.75" customHeight="1"/>
    <row r="310" hidden="1" ht="15.75" customHeight="1"/>
    <row r="311" hidden="1" ht="15.75" customHeight="1"/>
    <row r="312" hidden="1" ht="15.75" customHeight="1"/>
    <row r="313" hidden="1" ht="15.75" customHeight="1"/>
    <row r="314" hidden="1" ht="15.75" customHeight="1"/>
    <row r="315" hidden="1" ht="15.75" customHeight="1"/>
    <row r="316" hidden="1" ht="15.75" customHeight="1"/>
    <row r="317" hidden="1" ht="15.75" customHeight="1"/>
    <row r="318" hidden="1" ht="15.75" customHeight="1"/>
    <row r="319" hidden="1" ht="15.75" customHeight="1"/>
    <row r="320" hidden="1" ht="15.75" customHeight="1"/>
    <row r="321" hidden="1" ht="15.75" customHeight="1"/>
    <row r="322" hidden="1" ht="15.75" customHeight="1"/>
    <row r="323" hidden="1" ht="15.75" customHeight="1"/>
    <row r="324" hidden="1" ht="15.75" customHeight="1"/>
    <row r="325" hidden="1" ht="15.75" customHeight="1">
      <c r="B325" s="91" t="n"/>
    </row>
    <row r="326" hidden="1" ht="15.75" customHeight="1"/>
    <row r="327" hidden="1" ht="15.75" customHeight="1"/>
    <row r="328" hidden="1" ht="15.75" customHeight="1"/>
    <row r="329" hidden="1" ht="15.75" customHeight="1"/>
    <row r="330" hidden="1" ht="15.75" customHeight="1"/>
    <row r="331" hidden="1" ht="15.75" customHeight="1"/>
    <row r="332" hidden="1" ht="15.75" customHeight="1"/>
    <row r="333" hidden="1" ht="15.75" customHeight="1"/>
    <row r="334" hidden="1" ht="15.75" customHeight="1"/>
    <row r="335" hidden="1" ht="15.75" customHeight="1"/>
    <row r="336" hidden="1" ht="15.75" customHeight="1"/>
    <row r="337" hidden="1" ht="15.75" customHeight="1"/>
    <row r="338" hidden="1" ht="15.75" customHeight="1"/>
    <row r="339" hidden="1" ht="15.75" customHeight="1"/>
    <row r="340" hidden="1" ht="15.75" customHeight="1"/>
    <row r="341" hidden="1" ht="15.75" customHeight="1"/>
    <row r="342" hidden="1" ht="15.75" customHeight="1">
      <c r="B342" s="91" t="n"/>
    </row>
    <row r="343" hidden="1" ht="15.75" customHeight="1"/>
    <row r="344" hidden="1" ht="15.75" customHeight="1"/>
    <row r="345" hidden="1" ht="15.75" customHeight="1"/>
    <row r="346" hidden="1" ht="15.75" customHeight="1"/>
    <row r="347" hidden="1" ht="15.75" customHeight="1"/>
    <row r="348" hidden="1" ht="15.75" customHeight="1"/>
    <row r="349" hidden="1" ht="15.75" customHeight="1"/>
    <row r="350" hidden="1" ht="15.75" customHeight="1"/>
    <row r="351" hidden="1" ht="15.75" customHeight="1"/>
    <row r="352" hidden="1" ht="15.75" customHeight="1"/>
    <row r="353" hidden="1" ht="15.75" customHeight="1"/>
    <row r="354" hidden="1" ht="15.75" customHeight="1"/>
    <row r="355" hidden="1" ht="15.75" customHeight="1"/>
    <row r="356" hidden="1" ht="15.75" customHeight="1">
      <c r="B356" s="91" t="n"/>
    </row>
    <row r="357" hidden="1" ht="15.75" customHeight="1"/>
    <row r="358" hidden="1" ht="15.75" customHeight="1"/>
    <row r="359" hidden="1" ht="15.75" customHeight="1"/>
    <row r="360" hidden="1" ht="15.75" customHeight="1"/>
    <row r="361" hidden="1" ht="15.75" customHeight="1"/>
    <row r="362" hidden="1" ht="15.75" customHeight="1"/>
    <row r="363" hidden="1" ht="15.75" customHeight="1"/>
    <row r="364" hidden="1" ht="15.75" customHeight="1"/>
    <row r="365" hidden="1" ht="15.75" customHeight="1"/>
    <row r="366" hidden="1" ht="15.75" customHeight="1"/>
    <row r="367" hidden="1" ht="15.75" customHeight="1"/>
    <row r="368" hidden="1" ht="15.75" customHeight="1">
      <c r="B368" s="91" t="n"/>
    </row>
    <row r="369" hidden="1" ht="15.75" customHeight="1"/>
    <row r="370" hidden="1" ht="15.75" customHeight="1"/>
    <row r="371" hidden="1" ht="15.75" customHeight="1"/>
    <row r="372" hidden="1" ht="15.75" customHeight="1"/>
    <row r="373" hidden="1" ht="15.75" customHeight="1"/>
    <row r="374" hidden="1" ht="15.75" customHeight="1"/>
    <row r="375" hidden="1" ht="15.75" customHeight="1"/>
    <row r="376" hidden="1" ht="15.75" customHeight="1"/>
    <row r="377" hidden="1" ht="15.75" customHeight="1"/>
    <row r="378" hidden="1" ht="15.75" customHeight="1"/>
    <row r="379" hidden="1" ht="15.75" customHeight="1">
      <c r="B379" s="91" t="n"/>
    </row>
    <row r="380" hidden="1" ht="15.75" customHeight="1"/>
    <row r="381" hidden="1" ht="15.75" customHeight="1"/>
    <row r="382" hidden="1" ht="15.75" customHeight="1"/>
    <row r="383" hidden="1" ht="15.75" customHeight="1"/>
    <row r="384" hidden="1" ht="15.75" customHeight="1"/>
    <row r="385" hidden="1" ht="15.75" customHeight="1"/>
    <row r="386" hidden="1" ht="15.75" customHeight="1"/>
    <row r="387" hidden="1" ht="15.75" customHeight="1"/>
    <row r="388" hidden="1" ht="15.75" customHeight="1"/>
    <row r="389" hidden="1" ht="15.75" customHeight="1"/>
    <row r="390" hidden="1" ht="15.75" customHeight="1">
      <c r="B390" s="91" t="n"/>
    </row>
    <row r="391" hidden="1" ht="15.75" customHeight="1"/>
    <row r="392" hidden="1" ht="15.75" customHeight="1"/>
    <row r="393" hidden="1" ht="15.75" customHeight="1"/>
    <row r="394" hidden="1" ht="15.75" customHeight="1"/>
    <row r="395" hidden="1" ht="15.75" customHeight="1"/>
    <row r="396" hidden="1" ht="15.75" customHeight="1"/>
    <row r="397" hidden="1" ht="15.75" customHeight="1"/>
    <row r="398" hidden="1" ht="15.75" customHeight="1"/>
    <row r="399" hidden="1" ht="15.75" customHeight="1"/>
    <row r="400" hidden="1" ht="15.75" customHeight="1"/>
    <row r="401" hidden="1" ht="15.75" customHeight="1"/>
    <row r="402" hidden="1" ht="15.75" customHeight="1">
      <c r="B402" s="91" t="n"/>
    </row>
    <row r="403" hidden="1" ht="15.75" customHeight="1"/>
    <row r="404" hidden="1" ht="15.75" customHeight="1"/>
    <row r="405" hidden="1" ht="15.75" customHeight="1"/>
    <row r="406" hidden="1" ht="15.75" customHeight="1"/>
    <row r="407" hidden="1" ht="15.75" customHeight="1"/>
    <row r="408" hidden="1" ht="15.75" customHeight="1"/>
    <row r="409" hidden="1" ht="15.75" customHeight="1"/>
    <row r="410" hidden="1" ht="15.75" customHeight="1"/>
    <row r="411" hidden="1" ht="15.75" customHeight="1"/>
    <row r="412" hidden="1" ht="15.75" customHeight="1"/>
    <row r="413" hidden="1" ht="15.75" customHeight="1"/>
    <row r="414" hidden="1" ht="15.75" customHeight="1"/>
    <row r="415" hidden="1" ht="15.75" customHeight="1">
      <c r="B415" s="91" t="n"/>
    </row>
    <row r="416" hidden="1" ht="15.75" customHeight="1"/>
    <row r="417" hidden="1" ht="15.75" customHeight="1"/>
    <row r="418" hidden="1" ht="15.75" customHeight="1"/>
    <row r="419" hidden="1" ht="15.75" customHeight="1"/>
    <row r="420" hidden="1" ht="15.75" customHeight="1"/>
    <row r="421" hidden="1" ht="15.75" customHeight="1"/>
    <row r="422" hidden="1" ht="15.75" customHeight="1"/>
    <row r="423" hidden="1" ht="15.75" customHeight="1"/>
    <row r="424" hidden="1" ht="15.75" customHeight="1"/>
    <row r="425" hidden="1" ht="15.75" customHeight="1"/>
    <row r="426" hidden="1" ht="15.75" customHeight="1"/>
    <row r="427" hidden="1" ht="15.75" customHeight="1"/>
    <row r="428" hidden="1" ht="15.75" customHeight="1"/>
    <row r="429" hidden="1" ht="15.75" customHeight="1"/>
    <row r="430" hidden="1" ht="15.75" customHeight="1"/>
    <row r="431" ht="15.75" customHeight="1">
      <c r="B431" s="91" t="n"/>
    </row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</sheetData>
  <autoFilter ref="A5:Y430">
    <filterColumn colId="2" hiddenButton="0" showButton="0"/>
    <filterColumn colId="5" hiddenButton="0" showButton="1">
      <customFilters>
        <customFilter val=" " operator="notEqual"/>
      </customFilters>
    </filterColumn>
  </autoFilter>
  <mergeCells count="42">
    <mergeCell ref="B202:H214"/>
    <mergeCell ref="B287:H306"/>
    <mergeCell ref="B342:H355"/>
    <mergeCell ref="B170:D170"/>
    <mergeCell ref="B268:H286"/>
    <mergeCell ref="B112:B169"/>
    <mergeCell ref="C5:D5"/>
    <mergeCell ref="C138:C149"/>
    <mergeCell ref="C23:C25"/>
    <mergeCell ref="B186:H201"/>
    <mergeCell ref="B171:D171"/>
    <mergeCell ref="C160:C169"/>
    <mergeCell ref="B356:H367"/>
    <mergeCell ref="C4:D4"/>
    <mergeCell ref="B215:H231"/>
    <mergeCell ref="E4:F4"/>
    <mergeCell ref="B172:D172"/>
    <mergeCell ref="B390:H401"/>
    <mergeCell ref="B173:H173"/>
    <mergeCell ref="B180:H185"/>
    <mergeCell ref="B84:D84"/>
    <mergeCell ref="C112:C137"/>
    <mergeCell ref="B6:B25"/>
    <mergeCell ref="B402:H414"/>
    <mergeCell ref="B3:H3"/>
    <mergeCell ref="B379:H389"/>
    <mergeCell ref="B415:H430"/>
    <mergeCell ref="B110:D110"/>
    <mergeCell ref="B26:D26"/>
    <mergeCell ref="B174:H179"/>
    <mergeCell ref="B248:H267"/>
    <mergeCell ref="B431:H444"/>
    <mergeCell ref="G4:H4"/>
    <mergeCell ref="B368:H378"/>
    <mergeCell ref="E172:F172"/>
    <mergeCell ref="B46:D46"/>
    <mergeCell ref="B232:H247"/>
    <mergeCell ref="B325:H341"/>
    <mergeCell ref="B307:H324"/>
    <mergeCell ref="C6:C22"/>
    <mergeCell ref="C150:C159"/>
    <mergeCell ref="B111:D111"/>
  </mergeCells>
  <pageMargins left="0.7" right="0.7" top="0.75" bottom="0.75" header="0.3" footer="0.3"/>
  <pageSetup orientation="portrait" paperSize="9" scale="83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manager</dc:creator>
  <dcterms:created xmlns:dcterms="http://purl.org/dc/terms/" xmlns:xsi="http://www.w3.org/2001/XMLSchema-instance" xsi:type="dcterms:W3CDTF">2025-06-01T08:44:43Z</dcterms:created>
  <dcterms:modified xmlns:dcterms="http://purl.org/dc/terms/" xmlns:xsi="http://www.w3.org/2001/XMLSchema-instance" xsi:type="dcterms:W3CDTF">2026-03-15T13:03:16Z</dcterms:modified>
  <cp:lastModifiedBy>LaLa Stuido</cp:lastModifiedBy>
  <cp:lastPrinted>2025-09-14T09:39:05Z</cp:lastPrinted>
</cp:coreProperties>
</file>